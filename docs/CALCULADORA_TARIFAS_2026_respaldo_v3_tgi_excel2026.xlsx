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Calculo" sheetId="2" state="visible" r:id="rId2"/>
    <sheet xmlns:r="http://schemas.openxmlformats.org/officeDocument/2006/relationships" name="TRAMOS" sheetId="3" state="visible" r:id="rId3"/>
    <sheet xmlns:r="http://schemas.openxmlformats.org/officeDocument/2006/relationships"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COP&quot;"/>
    <numFmt numFmtId="165" formatCode="$#,##0.000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1F3864"/>
      <sz val="11"/>
    </font>
    <font>
      <name val="Calibri"/>
      <b val="1"/>
      <sz val="10"/>
    </font>
    <font>
      <b val="1"/>
      <color rgb="00FFFFFF"/>
      <sz val="10"/>
    </font>
    <font>
      <b val="1"/>
      <sz val="10"/>
    </font>
    <font>
      <b val="1"/>
      <color rgb="001F3864"/>
      <sz val="10"/>
    </font>
    <font>
      <b val="1"/>
      <color rgb="00FFFFFF"/>
      <sz val="8"/>
    </font>
    <font>
      <sz val="8"/>
    </font>
    <font>
      <name val="Calibri"/>
      <b val="1"/>
      <color rgb="00FFFFFF"/>
      <sz val="18"/>
    </font>
    <font>
      <b val="1"/>
      <color rgb="00C00000"/>
    </font>
    <font>
      <i val="1"/>
      <sz val="9"/>
    </font>
    <font>
      <sz val="9"/>
    </font>
    <font>
      <name val="Calibri"/>
      <b val="1"/>
      <color rgb="001F3864"/>
      <sz val="12"/>
    </font>
    <font>
      <b val="1"/>
      <color rgb="001F3864"/>
      <sz val="11"/>
    </font>
    <font>
      <name val="Calibri"/>
      <b val="1"/>
      <color rgb="002E7D32"/>
      <sz val="16"/>
    </font>
    <font>
      <b val="1"/>
      <color rgb="00FFFFFF"/>
      <sz val="14"/>
    </font>
    <font>
      <b val="1"/>
      <color rgb="00FFFFFF"/>
      <sz val="11"/>
    </font>
    <font>
      <b val="1"/>
      <color rgb="00E8792B"/>
      <sz val="9"/>
    </font>
    <font>
      <b val="1"/>
      <color rgb="001F3864"/>
      <sz val="9"/>
    </font>
    <font>
      <i val="1"/>
      <color rgb="005B6478"/>
      <sz val="8"/>
    </font>
    <font/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6EC"/>
      </patternFill>
    </fill>
    <fill>
      <patternFill patternType="solid">
        <fgColor rgb="00DDE5F2"/>
      </patternFill>
    </fill>
    <fill>
      <patternFill patternType="solid">
        <fgColor rgb="00F2F4F8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8D1E0"/>
      </left>
      <right style="thin">
        <color rgb="00C8D1E0"/>
      </right>
      <top style="thin">
        <color rgb="00C8D1E0"/>
      </top>
      <bottom style="thin">
        <color rgb="00C8D1E0"/>
      </bottom>
    </border>
    <border/>
    <border>
      <left/>
      <right/>
      <top style="thin">
        <color rgb="00C8D1E0"/>
      </top>
      <bottom/>
      <diagonal/>
    </border>
    <border>
      <left/>
      <right style="thin">
        <color rgb="00C8D1E0"/>
      </right>
      <top style="thin">
        <color rgb="00C8D1E0"/>
      </top>
      <bottom/>
      <diagonal/>
    </border>
    <border>
      <left/>
      <right style="thin">
        <color rgb="00C8D1E0"/>
      </right>
      <top style="thin">
        <color rgb="00C8D1E0"/>
      </top>
      <bottom style="thin">
        <color rgb="00C8D1E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5" borderId="1" pivotButton="0" quotePrefix="0" xfId="0"/>
    <xf numFmtId="0" fontId="0" fillId="0" borderId="4" pivotButton="0" quotePrefix="0" xfId="0"/>
    <xf numFmtId="4" fontId="2" fillId="5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center" wrapText="1"/>
    </xf>
    <xf numFmtId="164" fontId="2" fillId="0" borderId="0" pivotButton="0" quotePrefix="0" xfId="0"/>
    <xf numFmtId="0" fontId="14" fillId="0" borderId="0" pivotButton="0" quotePrefix="0" xfId="0"/>
    <xf numFmtId="164" fontId="15" fillId="0" borderId="0" pivotButton="0" quotePrefix="0" xfId="0"/>
    <xf numFmtId="165" fontId="16" fillId="0" borderId="0" pivotButton="0" quotePrefix="0" xfId="0"/>
    <xf numFmtId="165" fontId="17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4" fontId="7" fillId="4" borderId="0" pivotButton="0" quotePrefix="0" xfId="0"/>
    <xf numFmtId="4" fontId="8" fillId="0" borderId="0" pivotButton="0" quotePrefix="0" xfId="0"/>
    <xf numFmtId="0" fontId="3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vertical="center"/>
    </xf>
    <xf numFmtId="0" fontId="7" fillId="0" borderId="0" pivotButton="0" quotePrefix="0" xfId="0"/>
    <xf numFmtId="0" fontId="0" fillId="6" borderId="5" pivotButton="0" quotePrefix="0" xfId="0"/>
    <xf numFmtId="4" fontId="0" fillId="6" borderId="5" pivotButton="0" quotePrefix="0" xfId="0"/>
    <xf numFmtId="0" fontId="20" fillId="6" borderId="0" applyAlignment="1" pivotButton="0" quotePrefix="0" xfId="0">
      <alignment vertical="center" wrapText="1"/>
    </xf>
    <xf numFmtId="10" fontId="0" fillId="6" borderId="5" pivotButton="0" quotePrefix="0" xfId="0"/>
    <xf numFmtId="0" fontId="0" fillId="0" borderId="0" applyAlignment="1" pivotButton="0" quotePrefix="0" xfId="0">
      <alignment wrapText="1"/>
    </xf>
    <xf numFmtId="0" fontId="21" fillId="7" borderId="5" applyAlignment="1" pivotButton="0" quotePrefix="0" xfId="0">
      <alignment horizontal="center" wrapText="1"/>
    </xf>
    <xf numFmtId="0" fontId="7" fillId="0" borderId="5" pivotButton="0" quotePrefix="0" xfId="0"/>
    <xf numFmtId="0" fontId="0" fillId="0" borderId="5" pivotButton="0" quotePrefix="0" xfId="0"/>
    <xf numFmtId="4" fontId="0" fillId="0" borderId="5" pivotButton="0" quotePrefix="0" xfId="0"/>
    <xf numFmtId="10" fontId="0" fillId="0" borderId="5" pivotButton="0" quotePrefix="0" xfId="0"/>
    <xf numFmtId="0" fontId="7" fillId="8" borderId="5" pivotButton="0" quotePrefix="0" xfId="0"/>
    <xf numFmtId="0" fontId="16" fillId="0" borderId="5" pivotButton="0" quotePrefix="0" xfId="0"/>
    <xf numFmtId="4" fontId="16" fillId="0" borderId="5" pivotButton="0" quotePrefix="0" xfId="0"/>
    <xf numFmtId="0" fontId="16" fillId="0" borderId="0" pivotButton="0" quotePrefix="0" xfId="0"/>
    <xf numFmtId="165" fontId="0" fillId="0" borderId="5" pivotButton="0" quotePrefix="0" xfId="0"/>
    <xf numFmtId="165" fontId="16" fillId="0" borderId="5" pivotButton="0" quotePrefix="0" xfId="0"/>
    <xf numFmtId="0" fontId="22" fillId="0" borderId="0" applyAlignment="1" pivotButton="0" quotePrefix="0" xfId="0">
      <alignment vertical="top" wrapText="1"/>
    </xf>
    <xf numFmtId="0" fontId="24" fillId="2" borderId="0" pivotButton="0" quotePrefix="0" xfId="0"/>
    <xf numFmtId="0" fontId="16" fillId="0" borderId="6" pivotButton="0" quotePrefix="0" xfId="0"/>
    <xf numFmtId="0" fontId="23" fillId="0" borderId="6" pivotButton="0" quotePrefix="0" xfId="0"/>
    <xf numFmtId="0" fontId="7" fillId="0" borderId="6" pivotButton="0" quotePrefix="0" xfId="0"/>
    <xf numFmtId="10" fontId="23" fillId="0" borderId="6" pivotButton="0" quotePrefix="0" xfId="0"/>
    <xf numFmtId="4" fontId="23" fillId="0" borderId="6" pivotButton="0" quotePrefix="0" xfId="0"/>
    <xf numFmtId="10" fontId="23" fillId="6" borderId="6" pivotButton="0" quotePrefix="0" xfId="0"/>
    <xf numFmtId="0" fontId="7" fillId="0" borderId="6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1" fillId="7" borderId="6" pivotButton="0" quotePrefix="0" xfId="0"/>
    <xf numFmtId="4" fontId="16" fillId="0" borderId="6" pivotButton="0" quotePrefix="0" xfId="0"/>
    <xf numFmtId="165" fontId="23" fillId="0" borderId="6" pivotButton="0" quotePrefix="0" xfId="0"/>
    <xf numFmtId="165" fontId="16" fillId="0" borderId="6" pivotButton="0" quotePrefix="0" xfId="0"/>
    <xf numFmtId="0" fontId="0" fillId="0" borderId="9" pivotButton="0" quotePrefix="0" xfId="0"/>
    <xf numFmtId="0" fontId="24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  <col hidden="1" width="13" customWidth="1" min="20" max="20"/>
  </cols>
  <sheetData>
    <row r="1">
      <c r="A1" s="32" t="inlineStr">
        <is>
          <t>CALCULADORA DE TARIFAS DE TRANSPORTE DE GAS - SNT</t>
        </is>
      </c>
    </row>
    <row r="2"/>
    <row r="4">
      <c r="A4" s="33" t="inlineStr">
        <is>
          <t>1. SELECCIONE LA RUTA Y LAS OPCIONES</t>
        </is>
      </c>
    </row>
    <row r="5">
      <c r="A5" s="34" t="inlineStr">
        <is>
          <t>Origen</t>
        </is>
      </c>
      <c r="C5" s="35" t="inlineStr">
        <is>
          <t>Jobo</t>
        </is>
      </c>
      <c r="T5">
        <f>C5</f>
        <v/>
      </c>
    </row>
    <row r="6">
      <c r="A6" s="34" t="inlineStr">
        <is>
          <t>Destino</t>
        </is>
      </c>
      <c r="C6" s="35" t="inlineStr">
        <is>
          <t>Ballenas_prom</t>
        </is>
      </c>
      <c r="T6">
        <f>C6</f>
        <v/>
      </c>
    </row>
    <row r="7">
      <c r="A7" s="34" t="inlineStr">
        <is>
          <t>Opcion %CF (Fijo/Variable)</t>
        </is>
      </c>
      <c r="C7" s="35" t="inlineStr">
        <is>
          <t>0% Fijo / 100% Variable</t>
        </is>
      </c>
      <c r="T7">
        <f>VLOOKUP(C7,listas!$D$2:$E$8,2,0)</f>
        <v/>
      </c>
    </row>
    <row r="8">
      <c r="A8" s="34" t="inlineStr">
        <is>
          <t>TRM (COP por USD)</t>
        </is>
      </c>
      <c r="C8" s="36" t="n">
        <v>4000</v>
      </c>
      <c r="T8">
        <f>C8</f>
        <v/>
      </c>
    </row>
    <row r="9">
      <c r="A9" s="34" t="inlineStr">
        <is>
          <t>Impuesto local TGI</t>
        </is>
      </c>
      <c r="C9" s="35" t="inlineStr">
        <is>
          <t>6% - Impuesto especial municipal</t>
        </is>
      </c>
      <c r="E9" s="37" t="inlineStr">
        <is>
          <t>Impuesto local y cuota de fomento de arriba aplican SOLO A TGI. PROMIGAS se liquida automaticamente con 3% de cuota de fomento y 6% de impuesto local (no editables).</t>
        </is>
      </c>
      <c r="T9">
        <f>VLOOKUP(C9,listas!$G$2:$H$4,2,0)</f>
        <v/>
      </c>
    </row>
    <row r="10">
      <c r="A10" s="34" t="inlineStr">
        <is>
          <t>Cuota de fomento TGI</t>
        </is>
      </c>
      <c r="C10" s="38" t="n">
        <v>0.03</v>
      </c>
      <c r="T10">
        <f>C10</f>
        <v/>
      </c>
    </row>
    <row r="12">
      <c r="A12" s="33" t="inlineStr">
        <is>
          <t>2. RUTA CALCULADA</t>
        </is>
      </c>
    </row>
    <row r="13">
      <c r="A13" s="34" t="inlineStr">
        <is>
          <t>Tipo de ruta:</t>
        </is>
      </c>
      <c r="C13">
        <f>Calculo!B18&amp;IF(Calculo!B19="-",""," / "&amp;Calculo!B19)</f>
        <v/>
      </c>
    </row>
    <row r="14">
      <c r="A14" s="34" t="inlineStr">
        <is>
          <t>Tramos utilizados:</t>
        </is>
      </c>
      <c r="C14" s="39">
        <f>Calculo!B71</f>
        <v/>
      </c>
    </row>
    <row r="16">
      <c r="A16" s="33" t="inlineStr">
        <is>
          <t>3. DESGLOSE POR TRANSPORTADOR (cada uno liquida su estampilla, su fomento y su impuesto)</t>
        </is>
      </c>
    </row>
    <row r="17">
      <c r="A17" s="40" t="inlineStr">
        <is>
          <t>Transportador</t>
        </is>
      </c>
      <c r="B17" s="40" t="inlineStr">
        <is>
          <t>Usa</t>
        </is>
      </c>
      <c r="C17" s="40" t="inlineStr">
        <is>
          <t>Fijos pond.</t>
        </is>
      </c>
      <c r="D17" s="40" t="inlineStr">
        <is>
          <t>Variables pond.</t>
        </is>
      </c>
      <c r="E17" s="40" t="inlineStr">
        <is>
          <t>AOM</t>
        </is>
      </c>
      <c r="F17" s="40" t="inlineStr">
        <is>
          <t>Estampilla</t>
        </is>
      </c>
      <c r="G17" s="40" t="inlineStr">
        <is>
          <t>Base</t>
        </is>
      </c>
      <c r="H17" s="40" t="inlineStr">
        <is>
          <t>% Fomento</t>
        </is>
      </c>
      <c r="I17" s="40" t="inlineStr">
        <is>
          <t>Fomento</t>
        </is>
      </c>
      <c r="J17" s="40" t="inlineStr">
        <is>
          <t>% Impuesto</t>
        </is>
      </c>
      <c r="K17" s="40" t="inlineStr">
        <is>
          <t>Impuesto</t>
        </is>
      </c>
      <c r="L17" s="40" t="inlineStr">
        <is>
          <t>Total</t>
        </is>
      </c>
    </row>
    <row r="18">
      <c r="A18" s="41" t="inlineStr">
        <is>
          <t>TGI (editable)</t>
        </is>
      </c>
      <c r="B18" s="42">
        <f>Calculo!B57</f>
        <v/>
      </c>
      <c r="C18" s="43">
        <f>Calculo!C57</f>
        <v/>
      </c>
      <c r="D18" s="43">
        <f>Calculo!D57</f>
        <v/>
      </c>
      <c r="E18" s="43">
        <f>Calculo!E57</f>
        <v/>
      </c>
      <c r="F18" s="43">
        <f>Calculo!F57</f>
        <v/>
      </c>
      <c r="G18" s="43">
        <f>Calculo!G57</f>
        <v/>
      </c>
      <c r="H18" s="44">
        <f>Calculo!H57</f>
        <v/>
      </c>
      <c r="I18" s="43">
        <f>Calculo!I57</f>
        <v/>
      </c>
      <c r="J18" s="44">
        <f>Calculo!J57</f>
        <v/>
      </c>
      <c r="K18" s="43">
        <f>Calculo!K57</f>
        <v/>
      </c>
      <c r="L18" s="43">
        <f>Calculo!L57</f>
        <v/>
      </c>
    </row>
    <row r="19">
      <c r="A19" s="45" t="inlineStr">
        <is>
          <t>PROMIGAS (automatico)</t>
        </is>
      </c>
      <c r="B19" s="42">
        <f>Calculo!B58</f>
        <v/>
      </c>
      <c r="C19" s="43">
        <f>Calculo!C58</f>
        <v/>
      </c>
      <c r="D19" s="43">
        <f>Calculo!D58</f>
        <v/>
      </c>
      <c r="E19" s="43">
        <f>Calculo!E58</f>
        <v/>
      </c>
      <c r="F19" s="43">
        <f>Calculo!F58</f>
        <v/>
      </c>
      <c r="G19" s="43">
        <f>Calculo!G58</f>
        <v/>
      </c>
      <c r="H19" s="44">
        <f>Calculo!H58</f>
        <v/>
      </c>
      <c r="I19" s="43">
        <f>Calculo!I58</f>
        <v/>
      </c>
      <c r="J19" s="44">
        <f>Calculo!J58</f>
        <v/>
      </c>
      <c r="K19" s="43">
        <f>Calculo!K58</f>
        <v/>
      </c>
      <c r="L19" s="43">
        <f>Calculo!L58</f>
        <v/>
      </c>
    </row>
    <row r="20">
      <c r="A20" s="46" t="inlineStr">
        <is>
          <t>TOTALES</t>
        </is>
      </c>
      <c r="B20" s="42" t="n"/>
      <c r="C20" s="47">
        <f>Calculo!C59</f>
        <v/>
      </c>
      <c r="D20" s="47">
        <f>Calculo!D59</f>
        <v/>
      </c>
      <c r="E20" s="47">
        <f>Calculo!E59</f>
        <v/>
      </c>
      <c r="F20" s="47">
        <f>Calculo!F59</f>
        <v/>
      </c>
      <c r="G20" s="47">
        <f>Calculo!G59</f>
        <v/>
      </c>
      <c r="H20" s="42" t="n"/>
      <c r="I20" s="47">
        <f>Calculo!I59</f>
        <v/>
      </c>
      <c r="J20" s="42" t="n"/>
      <c r="K20" s="47">
        <f>Calculo!K59</f>
        <v/>
      </c>
      <c r="L20" s="47">
        <f>Calculo!L59</f>
        <v/>
      </c>
    </row>
    <row r="22">
      <c r="A22" s="33" t="inlineStr">
        <is>
          <t>4. RESULTADO FINAL</t>
        </is>
      </c>
    </row>
    <row r="23">
      <c r="A23" s="34" t="inlineStr">
        <is>
          <t>Costo base transporte (COP/KPC)</t>
        </is>
      </c>
      <c r="E23" s="43">
        <f>Calculo!B64</f>
        <v/>
      </c>
    </row>
    <row r="24">
      <c r="A24" s="34" t="inlineStr">
        <is>
          <t>Cuota de fomento - suma transportadores (COP/KPC)</t>
        </is>
      </c>
      <c r="E24" s="43">
        <f>Calculo!B65</f>
        <v/>
      </c>
    </row>
    <row r="25">
      <c r="A25" s="34" t="inlineStr">
        <is>
          <t>Impuesto local - suma transportadores (COP/KPC)</t>
        </is>
      </c>
      <c r="E25" s="43">
        <f>Calculo!B66</f>
        <v/>
      </c>
    </row>
    <row r="26">
      <c r="A26" s="48" t="inlineStr">
        <is>
          <t>TOTAL (COP/KPC)</t>
        </is>
      </c>
      <c r="E26" s="47">
        <f>Calculo!B67</f>
        <v/>
      </c>
    </row>
    <row r="27">
      <c r="A27" s="34" t="inlineStr">
        <is>
          <t>Costo base transporte (USD/KPC)</t>
        </is>
      </c>
      <c r="E27" s="49">
        <f>Calculo!B68</f>
        <v/>
      </c>
    </row>
    <row r="28">
      <c r="A28" s="48" t="inlineStr">
        <is>
          <t>TOTAL (USD/KPC)</t>
        </is>
      </c>
      <c r="E28" s="50">
        <f>Calculo!B69</f>
        <v/>
      </c>
    </row>
    <row r="31">
      <c r="A31" s="51" t="inlineStr">
        <is>
          <t>Notas: %CF = porcentaje que se cobra como cargo fijo (el resto se cobra como cargo variable); el AOM se cobra 100% independiente del %CF. La estampilla se cobra una sola vez por transportador usado en la ruta. Si Origen y Destino estan en redes distintas, la ruta es COMBINADA: se suma la ruta del Origen hasta el punto de entrada de su red y la del punto de entrada de la red del Destino hasta el Destino, y se cobran las estampillas, cuotas de fomento e impuestos de ambos transportadores. La cuota de fomento y el impuesto local se liquidan POR TRANSPORTADOR sobre su propia base (sus tramos + su estampilla): TGI usa los porcentajes editables de arriba; PROMIGAS usa 3% y 6% fijos, que se cambian en Calculo!B10 y Calculo!B11. Fuente de tarifas: hoja TRAMOS.</t>
        </is>
      </c>
    </row>
    <row r="32"/>
    <row r="33"/>
    <row r="34"/>
  </sheetData>
  <mergeCells count="35">
    <mergeCell ref="A16:L16"/>
    <mergeCell ref="A23:D23"/>
    <mergeCell ref="C6:D6"/>
    <mergeCell ref="E24:F24"/>
    <mergeCell ref="C5:D5"/>
    <mergeCell ref="E23:F23"/>
    <mergeCell ref="A31:L34"/>
    <mergeCell ref="A28:D28"/>
    <mergeCell ref="A6:B6"/>
    <mergeCell ref="A12:L12"/>
    <mergeCell ref="C13:L13"/>
    <mergeCell ref="C10:D10"/>
    <mergeCell ref="A7:B7"/>
    <mergeCell ref="A1:L2"/>
    <mergeCell ref="E28:F28"/>
    <mergeCell ref="A22:L22"/>
    <mergeCell ref="A24:D24"/>
    <mergeCell ref="C9:D9"/>
    <mergeCell ref="A4:L4"/>
    <mergeCell ref="C14:L14"/>
    <mergeCell ref="A5:B5"/>
    <mergeCell ref="E27:F27"/>
    <mergeCell ref="A14:B14"/>
    <mergeCell ref="A25:D25"/>
    <mergeCell ref="E26:F26"/>
    <mergeCell ref="A8:B8"/>
    <mergeCell ref="C8:D8"/>
    <mergeCell ref="A27:D27"/>
    <mergeCell ref="C7:D7"/>
    <mergeCell ref="E25:F25"/>
    <mergeCell ref="A26:D26"/>
    <mergeCell ref="A10:B10"/>
    <mergeCell ref="A13:B13"/>
    <mergeCell ref="A9:B9"/>
    <mergeCell ref="E9:L10"/>
  </mergeCells>
  <dataValidations count="4">
    <dataValidation sqref="C5" showDropDown="0" showInputMessage="0" showErrorMessage="0" allowBlank="0" type="list">
      <formula1>listas!$A$2:$A$35</formula1>
    </dataValidation>
    <dataValidation sqref="C6" showDropDown="0" showInputMessage="0" showErrorMessage="0" allowBlank="0" type="list">
      <formula1>listas!$B$2:$B$35</formula1>
    </dataValidation>
    <dataValidation sqref="C7" showDropDown="0" showInputMessage="0" showErrorMessage="0" allowBlank="0" type="list">
      <formula1>listas!$D$2:$D$8</formula1>
    </dataValidation>
    <dataValidation sqref="C9" showDropDown="0" showInputMessage="0" showErrorMessage="0" allowBlank="0" type="list">
      <formula1>listas!$G$2:$G$4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6" customWidth="1" min="9" max="9"/>
    <col width="14" customWidth="1" min="10" max="10"/>
  </cols>
  <sheetData>
    <row r="1">
      <c r="A1" s="66" t="inlineStr">
        <is>
          <t>MOTOR DE CALCULO - no editar (alimenta la hoja CALCULADORA)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</row>
    <row r="2">
      <c r="A2" s="54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</row>
    <row r="3">
      <c r="A3" s="53" t="inlineStr">
        <is>
          <t>PARAMETROS DE ENTRADA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</row>
    <row r="4">
      <c r="A4" s="55" t="inlineStr">
        <is>
          <t>Origen</t>
        </is>
      </c>
      <c r="B4" s="54">
        <f>CALCULADORA!T5</f>
        <v/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</row>
    <row r="5">
      <c r="A5" s="55" t="inlineStr">
        <is>
          <t>Destino</t>
        </is>
      </c>
      <c r="B5" s="54">
        <f>CALCULADORA!T6</f>
        <v/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</row>
    <row r="6">
      <c r="A6" s="55" t="inlineStr">
        <is>
          <t>%CF (fraccion Fijo)</t>
        </is>
      </c>
      <c r="B6" s="56">
        <f>CALCULADORA!T7</f>
        <v/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</row>
    <row r="7">
      <c r="A7" s="55" t="inlineStr">
        <is>
          <t>TRM (COP/USD)</t>
        </is>
      </c>
      <c r="B7" s="57">
        <f>CALCULADORA!T8</f>
        <v/>
      </c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</row>
    <row r="8">
      <c r="A8" s="55" t="inlineStr">
        <is>
          <t>% Impuesto local TGI (editable)</t>
        </is>
      </c>
      <c r="B8" s="56">
        <f>CALCULADORA!T9</f>
        <v/>
      </c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</row>
    <row r="9">
      <c r="A9" s="55" t="inlineStr">
        <is>
          <t>% Cuota de fomento TGI (editable)</t>
        </is>
      </c>
      <c r="B9" s="56">
        <f>CALCULADORA!T10</f>
        <v/>
      </c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</row>
    <row r="10">
      <c r="A10" s="55" t="inlineStr">
        <is>
          <t>% Cuota de fomento PROMIGAS (fijo)</t>
        </is>
      </c>
      <c r="B10" s="58" t="n">
        <v>0.03</v>
      </c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</row>
    <row r="11">
      <c r="A11" s="55" t="inlineStr">
        <is>
          <t>% Impuesto local PROMIGAS (fijo)</t>
        </is>
      </c>
      <c r="B11" s="58" t="n">
        <v>0.06</v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</row>
    <row r="13">
      <c r="A13" s="53" t="inlineStr">
        <is>
          <t>VALIDACION DE RUTA</t>
        </is>
      </c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</row>
    <row r="14">
      <c r="A14" s="55" t="inlineStr">
        <is>
          <t>Fila de Origen en matriz</t>
        </is>
      </c>
      <c r="B14" s="54">
        <f>MATCH(B4,$A$76:$A$109,0)</f>
        <v/>
      </c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</row>
    <row r="15">
      <c r="A15" s="55" t="inlineStr">
        <is>
          <t>Fila de Destino en matriz</t>
        </is>
      </c>
      <c r="B15" s="54">
        <f>MATCH(B5,$A$76:$A$109,0)</f>
        <v/>
      </c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</row>
    <row r="16">
      <c r="A16" s="55" t="inlineStr">
        <is>
          <t>Red de Origen</t>
        </is>
      </c>
      <c r="B16" s="54">
        <f>INDEX($B$76:$B$109,B14)</f>
        <v/>
      </c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</row>
    <row r="17">
      <c r="A17" s="55" t="inlineStr">
        <is>
          <t>Red de Destino</t>
        </is>
      </c>
      <c r="B17" s="54">
        <f>INDEX($B$76:$B$109,B15)</f>
        <v/>
      </c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</row>
    <row r="18">
      <c r="A18" s="59" t="inlineStr">
        <is>
          <t>Ruta valida?</t>
        </is>
      </c>
      <c r="B18" s="60">
        <f>IF(B4=B5,"ORIGEN = DESTINO","SI")</f>
        <v/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</row>
    <row r="19">
      <c r="A19" s="55" t="inlineStr">
        <is>
          <t>Tipo de ruta</t>
        </is>
      </c>
      <c r="B19" s="54">
        <f>IF($B$18&lt;&gt;"SI","-",IF($B$16=$B$17,"DIRECTA","COMBINADA - se suman las dos rutas hasta el punto de entrada de cada red"))</f>
        <v/>
      </c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</row>
    <row r="20">
      <c r="A20" s="61" t="inlineStr">
        <is>
          <t>Tramo</t>
        </is>
      </c>
      <c r="B20" s="61" t="inlineStr">
        <is>
          <t>Ruta</t>
        </is>
      </c>
      <c r="C20" s="61" t="inlineStr">
        <is>
          <t>Transportador</t>
        </is>
      </c>
      <c r="D20" s="61" t="inlineStr">
        <is>
          <t>Fijos</t>
        </is>
      </c>
      <c r="E20" s="61" t="inlineStr">
        <is>
          <t>Variables</t>
        </is>
      </c>
      <c r="F20" s="61" t="inlineStr">
        <is>
          <t>AOM</t>
        </is>
      </c>
      <c r="G20" s="61" t="inlineStr">
        <is>
          <t>Incluido</t>
        </is>
      </c>
      <c r="H20" s="61" t="inlineStr">
        <is>
          <t>Fijo ponderado</t>
        </is>
      </c>
      <c r="I20" s="61" t="inlineStr">
        <is>
          <t>Variable ponderado</t>
        </is>
      </c>
      <c r="J20" s="61" t="inlineStr">
        <is>
          <t>AOM incluido</t>
        </is>
      </c>
      <c r="K20" s="54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</row>
    <row r="21">
      <c r="A21" s="54">
        <f>TRAMOS!J2</f>
        <v/>
      </c>
      <c r="B21" s="54">
        <f>TRAMOS!A2</f>
        <v/>
      </c>
      <c r="C21" s="54">
        <f>TRAMOS!I2</f>
        <v/>
      </c>
      <c r="D21" s="57">
        <f>TRAMOS!D2</f>
        <v/>
      </c>
      <c r="E21" s="57">
        <f>TRAMOS!E2</f>
        <v/>
      </c>
      <c r="F21" s="57">
        <f>TRAMOS!F2</f>
        <v/>
      </c>
      <c r="G21" s="54">
        <f>IF($B$18&lt;&gt;"SI",0,IF($B$16=$B$17,ABS(INDEX($C$76:$AH$109,$B$14,1)-INDEX($C$76:$AH$109,$B$15,1)),INDEX($C$76:$AH$109,$B$14,1)+INDEX($C$76:$AH$109,$B$15,1)))</f>
        <v/>
      </c>
      <c r="H21" s="57">
        <f>D21*$B$6*G21</f>
        <v/>
      </c>
      <c r="I21" s="57">
        <f>E21*(1-$B$6)*G21</f>
        <v/>
      </c>
      <c r="J21" s="57">
        <f>F21*G21</f>
        <v/>
      </c>
      <c r="K21" s="54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</row>
    <row r="22">
      <c r="A22" s="54">
        <f>TRAMOS!J3</f>
        <v/>
      </c>
      <c r="B22" s="54">
        <f>TRAMOS!A3</f>
        <v/>
      </c>
      <c r="C22" s="54">
        <f>TRAMOS!I3</f>
        <v/>
      </c>
      <c r="D22" s="57">
        <f>TRAMOS!D3</f>
        <v/>
      </c>
      <c r="E22" s="57">
        <f>TRAMOS!E3</f>
        <v/>
      </c>
      <c r="F22" s="57">
        <f>TRAMOS!F3</f>
        <v/>
      </c>
      <c r="G22" s="54">
        <f>IF($B$18&lt;&gt;"SI",0,IF($B$16=$B$17,ABS(INDEX($C$76:$AH$109,$B$14,2)-INDEX($C$76:$AH$109,$B$15,2)),INDEX($C$76:$AH$109,$B$14,2)+INDEX($C$76:$AH$109,$B$15,2)))</f>
        <v/>
      </c>
      <c r="H22" s="57">
        <f>D22*$B$6*G22</f>
        <v/>
      </c>
      <c r="I22" s="57">
        <f>E22*(1-$B$6)*G22</f>
        <v/>
      </c>
      <c r="J22" s="57">
        <f>F22*G22</f>
        <v/>
      </c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</row>
    <row r="23">
      <c r="A23" s="54">
        <f>TRAMOS!J4</f>
        <v/>
      </c>
      <c r="B23" s="54">
        <f>TRAMOS!A4</f>
        <v/>
      </c>
      <c r="C23" s="54">
        <f>TRAMOS!I4</f>
        <v/>
      </c>
      <c r="D23" s="57">
        <f>TRAMOS!D4</f>
        <v/>
      </c>
      <c r="E23" s="57">
        <f>TRAMOS!E4</f>
        <v/>
      </c>
      <c r="F23" s="57">
        <f>TRAMOS!F4</f>
        <v/>
      </c>
      <c r="G23" s="54">
        <f>IF($B$18&lt;&gt;"SI",0,IF($B$16=$B$17,ABS(INDEX($C$76:$AH$109,$B$14,3)-INDEX($C$76:$AH$109,$B$15,3)),INDEX($C$76:$AH$109,$B$14,3)+INDEX($C$76:$AH$109,$B$15,3)))</f>
        <v/>
      </c>
      <c r="H23" s="57">
        <f>D23*$B$6*G23</f>
        <v/>
      </c>
      <c r="I23" s="57">
        <f>E23*(1-$B$6)*G23</f>
        <v/>
      </c>
      <c r="J23" s="57">
        <f>F23*G23</f>
        <v/>
      </c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</row>
    <row r="24">
      <c r="A24" s="54">
        <f>TRAMOS!J5</f>
        <v/>
      </c>
      <c r="B24" s="54">
        <f>TRAMOS!A5</f>
        <v/>
      </c>
      <c r="C24" s="54">
        <f>TRAMOS!I5</f>
        <v/>
      </c>
      <c r="D24" s="57">
        <f>TRAMOS!D5</f>
        <v/>
      </c>
      <c r="E24" s="57">
        <f>TRAMOS!E5</f>
        <v/>
      </c>
      <c r="F24" s="57">
        <f>TRAMOS!F5</f>
        <v/>
      </c>
      <c r="G24" s="54">
        <f>IF($B$18&lt;&gt;"SI",0,IF($B$16=$B$17,ABS(INDEX($C$76:$AH$109,$B$14,4)-INDEX($C$76:$AH$109,$B$15,4)),INDEX($C$76:$AH$109,$B$14,4)+INDEX($C$76:$AH$109,$B$15,4)))</f>
        <v/>
      </c>
      <c r="H24" s="57">
        <f>D24*$B$6*G24</f>
        <v/>
      </c>
      <c r="I24" s="57">
        <f>E24*(1-$B$6)*G24</f>
        <v/>
      </c>
      <c r="J24" s="57">
        <f>F24*G24</f>
        <v/>
      </c>
      <c r="K24" s="54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</row>
    <row r="25">
      <c r="A25" s="54">
        <f>TRAMOS!J6</f>
        <v/>
      </c>
      <c r="B25" s="54">
        <f>TRAMOS!A6</f>
        <v/>
      </c>
      <c r="C25" s="54">
        <f>TRAMOS!I6</f>
        <v/>
      </c>
      <c r="D25" s="57">
        <f>TRAMOS!D6</f>
        <v/>
      </c>
      <c r="E25" s="57">
        <f>TRAMOS!E6</f>
        <v/>
      </c>
      <c r="F25" s="57">
        <f>TRAMOS!F6</f>
        <v/>
      </c>
      <c r="G25" s="54">
        <f>IF($B$18&lt;&gt;"SI",0,IF($B$16=$B$17,ABS(INDEX($C$76:$AH$109,$B$14,5)-INDEX($C$76:$AH$109,$B$15,5)),INDEX($C$76:$AH$109,$B$14,5)+INDEX($C$76:$AH$109,$B$15,5)))</f>
        <v/>
      </c>
      <c r="H25" s="57">
        <f>D25*$B$6*G25</f>
        <v/>
      </c>
      <c r="I25" s="57">
        <f>E25*(1-$B$6)*G25</f>
        <v/>
      </c>
      <c r="J25" s="57">
        <f>F25*G25</f>
        <v/>
      </c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</row>
    <row r="26">
      <c r="A26" s="54">
        <f>TRAMOS!J7</f>
        <v/>
      </c>
      <c r="B26" s="54">
        <f>TRAMOS!A7</f>
        <v/>
      </c>
      <c r="C26" s="54">
        <f>TRAMOS!I7</f>
        <v/>
      </c>
      <c r="D26" s="57">
        <f>TRAMOS!D7</f>
        <v/>
      </c>
      <c r="E26" s="57">
        <f>TRAMOS!E7</f>
        <v/>
      </c>
      <c r="F26" s="57">
        <f>TRAMOS!F7</f>
        <v/>
      </c>
      <c r="G26" s="54">
        <f>IF($B$18&lt;&gt;"SI",0,IF($B$16=$B$17,ABS(INDEX($C$76:$AH$109,$B$14,6)-INDEX($C$76:$AH$109,$B$15,6)),INDEX($C$76:$AH$109,$B$14,6)+INDEX($C$76:$AH$109,$B$15,6)))</f>
        <v/>
      </c>
      <c r="H26" s="57">
        <f>D26*$B$6*G26</f>
        <v/>
      </c>
      <c r="I26" s="57">
        <f>E26*(1-$B$6)*G26</f>
        <v/>
      </c>
      <c r="J26" s="57">
        <f>F26*G26</f>
        <v/>
      </c>
      <c r="K26" s="54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</row>
    <row r="27">
      <c r="A27" s="54">
        <f>TRAMOS!J8</f>
        <v/>
      </c>
      <c r="B27" s="54">
        <f>TRAMOS!A8</f>
        <v/>
      </c>
      <c r="C27" s="54">
        <f>TRAMOS!I8</f>
        <v/>
      </c>
      <c r="D27" s="57">
        <f>TRAMOS!D8</f>
        <v/>
      </c>
      <c r="E27" s="57">
        <f>TRAMOS!E8</f>
        <v/>
      </c>
      <c r="F27" s="57">
        <f>TRAMOS!F8</f>
        <v/>
      </c>
      <c r="G27" s="54">
        <f>IF($B$18&lt;&gt;"SI",0,IF($B$16=$B$17,ABS(INDEX($C$76:$AH$109,$B$14,7)-INDEX($C$76:$AH$109,$B$15,7)),INDEX($C$76:$AH$109,$B$14,7)+INDEX($C$76:$AH$109,$B$15,7)))</f>
        <v/>
      </c>
      <c r="H27" s="57">
        <f>D27*$B$6*G27</f>
        <v/>
      </c>
      <c r="I27" s="57">
        <f>E27*(1-$B$6)*G27</f>
        <v/>
      </c>
      <c r="J27" s="57">
        <f>F27*G27</f>
        <v/>
      </c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</row>
    <row r="28">
      <c r="A28" s="54">
        <f>TRAMOS!J9</f>
        <v/>
      </c>
      <c r="B28" s="54">
        <f>TRAMOS!A9</f>
        <v/>
      </c>
      <c r="C28" s="54">
        <f>TRAMOS!I9</f>
        <v/>
      </c>
      <c r="D28" s="57">
        <f>TRAMOS!D9</f>
        <v/>
      </c>
      <c r="E28" s="57">
        <f>TRAMOS!E9</f>
        <v/>
      </c>
      <c r="F28" s="57">
        <f>TRAMOS!F9</f>
        <v/>
      </c>
      <c r="G28" s="54">
        <f>IF($B$18&lt;&gt;"SI",0,IF($B$16=$B$17,ABS(INDEX($C$76:$AH$109,$B$14,8)-INDEX($C$76:$AH$109,$B$15,8)),INDEX($C$76:$AH$109,$B$14,8)+INDEX($C$76:$AH$109,$B$15,8)))</f>
        <v/>
      </c>
      <c r="H28" s="57">
        <f>D28*$B$6*G28</f>
        <v/>
      </c>
      <c r="I28" s="57">
        <f>E28*(1-$B$6)*G28</f>
        <v/>
      </c>
      <c r="J28" s="57">
        <f>F28*G28</f>
        <v/>
      </c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</row>
    <row r="29">
      <c r="A29" s="54">
        <f>TRAMOS!J10</f>
        <v/>
      </c>
      <c r="B29" s="54">
        <f>TRAMOS!A10</f>
        <v/>
      </c>
      <c r="C29" s="54">
        <f>TRAMOS!I10</f>
        <v/>
      </c>
      <c r="D29" s="57">
        <f>TRAMOS!D10</f>
        <v/>
      </c>
      <c r="E29" s="57">
        <f>TRAMOS!E10</f>
        <v/>
      </c>
      <c r="F29" s="57">
        <f>TRAMOS!F10</f>
        <v/>
      </c>
      <c r="G29" s="54">
        <f>IF($B$18&lt;&gt;"SI",0,IF($B$16=$B$17,ABS(INDEX($C$76:$AH$109,$B$14,9)-INDEX($C$76:$AH$109,$B$15,9)),INDEX($C$76:$AH$109,$B$14,9)+INDEX($C$76:$AH$109,$B$15,9)))</f>
        <v/>
      </c>
      <c r="H29" s="57">
        <f>D29*$B$6*G29</f>
        <v/>
      </c>
      <c r="I29" s="57">
        <f>E29*(1-$B$6)*G29</f>
        <v/>
      </c>
      <c r="J29" s="57">
        <f>F29*G29</f>
        <v/>
      </c>
      <c r="K29" s="54" t="n"/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</row>
    <row r="30">
      <c r="A30" s="54">
        <f>TRAMOS!J11</f>
        <v/>
      </c>
      <c r="B30" s="54">
        <f>TRAMOS!A11</f>
        <v/>
      </c>
      <c r="C30" s="54">
        <f>TRAMOS!I11</f>
        <v/>
      </c>
      <c r="D30" s="57">
        <f>TRAMOS!D11</f>
        <v/>
      </c>
      <c r="E30" s="57">
        <f>TRAMOS!E11</f>
        <v/>
      </c>
      <c r="F30" s="57">
        <f>TRAMOS!F11</f>
        <v/>
      </c>
      <c r="G30" s="54">
        <f>IF($B$18&lt;&gt;"SI",0,IF($B$16=$B$17,ABS(INDEX($C$76:$AH$109,$B$14,10)-INDEX($C$76:$AH$109,$B$15,10)),INDEX($C$76:$AH$109,$B$14,10)+INDEX($C$76:$AH$109,$B$15,10)))</f>
        <v/>
      </c>
      <c r="H30" s="57">
        <f>D30*$B$6*G30</f>
        <v/>
      </c>
      <c r="I30" s="57">
        <f>E30*(1-$B$6)*G30</f>
        <v/>
      </c>
      <c r="J30" s="57">
        <f>F30*G30</f>
        <v/>
      </c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</row>
    <row r="31">
      <c r="A31" s="54">
        <f>TRAMOS!J12</f>
        <v/>
      </c>
      <c r="B31" s="54">
        <f>TRAMOS!A12</f>
        <v/>
      </c>
      <c r="C31" s="54">
        <f>TRAMOS!I12</f>
        <v/>
      </c>
      <c r="D31" s="57">
        <f>TRAMOS!D12</f>
        <v/>
      </c>
      <c r="E31" s="57">
        <f>TRAMOS!E12</f>
        <v/>
      </c>
      <c r="F31" s="57">
        <f>TRAMOS!F12</f>
        <v/>
      </c>
      <c r="G31" s="54">
        <f>IF($B$18&lt;&gt;"SI",0,IF($B$16=$B$17,ABS(INDEX($C$76:$AH$109,$B$14,11)-INDEX($C$76:$AH$109,$B$15,11)),INDEX($C$76:$AH$109,$B$14,11)+INDEX($C$76:$AH$109,$B$15,11)))</f>
        <v/>
      </c>
      <c r="H31" s="57">
        <f>D31*$B$6*G31</f>
        <v/>
      </c>
      <c r="I31" s="57">
        <f>E31*(1-$B$6)*G31</f>
        <v/>
      </c>
      <c r="J31" s="57">
        <f>F31*G31</f>
        <v/>
      </c>
      <c r="K31" s="54" t="n"/>
      <c r="L31" s="54" t="n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</row>
    <row r="32">
      <c r="A32" s="54">
        <f>TRAMOS!J13</f>
        <v/>
      </c>
      <c r="B32" s="54">
        <f>TRAMOS!A13</f>
        <v/>
      </c>
      <c r="C32" s="54">
        <f>TRAMOS!I13</f>
        <v/>
      </c>
      <c r="D32" s="57">
        <f>TRAMOS!D13</f>
        <v/>
      </c>
      <c r="E32" s="57">
        <f>TRAMOS!E13</f>
        <v/>
      </c>
      <c r="F32" s="57">
        <f>TRAMOS!F13</f>
        <v/>
      </c>
      <c r="G32" s="54">
        <f>IF($B$18&lt;&gt;"SI",0,IF($B$16=$B$17,ABS(INDEX($C$76:$AH$109,$B$14,12)-INDEX($C$76:$AH$109,$B$15,12)),INDEX($C$76:$AH$109,$B$14,12)+INDEX($C$76:$AH$109,$B$15,12)))</f>
        <v/>
      </c>
      <c r="H32" s="57">
        <f>D32*$B$6*G32</f>
        <v/>
      </c>
      <c r="I32" s="57">
        <f>E32*(1-$B$6)*G32</f>
        <v/>
      </c>
      <c r="J32" s="57">
        <f>F32*G32</f>
        <v/>
      </c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</row>
    <row r="33">
      <c r="A33" s="54">
        <f>TRAMOS!J14</f>
        <v/>
      </c>
      <c r="B33" s="54">
        <f>TRAMOS!A14</f>
        <v/>
      </c>
      <c r="C33" s="54">
        <f>TRAMOS!I14</f>
        <v/>
      </c>
      <c r="D33" s="57">
        <f>TRAMOS!D14</f>
        <v/>
      </c>
      <c r="E33" s="57">
        <f>TRAMOS!E14</f>
        <v/>
      </c>
      <c r="F33" s="57">
        <f>TRAMOS!F14</f>
        <v/>
      </c>
      <c r="G33" s="54">
        <f>IF($B$18&lt;&gt;"SI",0,IF($B$16=$B$17,ABS(INDEX($C$76:$AH$109,$B$14,13)-INDEX($C$76:$AH$109,$B$15,13)),INDEX($C$76:$AH$109,$B$14,13)+INDEX($C$76:$AH$109,$B$15,13)))</f>
        <v/>
      </c>
      <c r="H33" s="57">
        <f>D33*$B$6*G33</f>
        <v/>
      </c>
      <c r="I33" s="57">
        <f>E33*(1-$B$6)*G33</f>
        <v/>
      </c>
      <c r="J33" s="57">
        <f>F33*G33</f>
        <v/>
      </c>
      <c r="K33" s="54" t="n"/>
      <c r="L33" s="54" t="n"/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</row>
    <row r="34">
      <c r="A34" s="54">
        <f>TRAMOS!J15</f>
        <v/>
      </c>
      <c r="B34" s="54">
        <f>TRAMOS!A15</f>
        <v/>
      </c>
      <c r="C34" s="54">
        <f>TRAMOS!I15</f>
        <v/>
      </c>
      <c r="D34" s="57">
        <f>TRAMOS!D15</f>
        <v/>
      </c>
      <c r="E34" s="57">
        <f>TRAMOS!E15</f>
        <v/>
      </c>
      <c r="F34" s="57">
        <f>TRAMOS!F15</f>
        <v/>
      </c>
      <c r="G34" s="54">
        <f>IF($B$18&lt;&gt;"SI",0,IF($B$16=$B$17,ABS(INDEX($C$76:$AH$109,$B$14,14)-INDEX($C$76:$AH$109,$B$15,14)),INDEX($C$76:$AH$109,$B$14,14)+INDEX($C$76:$AH$109,$B$15,14)))</f>
        <v/>
      </c>
      <c r="H34" s="57">
        <f>D34*$B$6*G34</f>
        <v/>
      </c>
      <c r="I34" s="57">
        <f>E34*(1-$B$6)*G34</f>
        <v/>
      </c>
      <c r="J34" s="57">
        <f>F34*G34</f>
        <v/>
      </c>
      <c r="K34" s="54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</row>
    <row r="35">
      <c r="A35" s="54">
        <f>TRAMOS!J16</f>
        <v/>
      </c>
      <c r="B35" s="54">
        <f>TRAMOS!A16</f>
        <v/>
      </c>
      <c r="C35" s="54">
        <f>TRAMOS!I16</f>
        <v/>
      </c>
      <c r="D35" s="57">
        <f>TRAMOS!D16</f>
        <v/>
      </c>
      <c r="E35" s="57">
        <f>TRAMOS!E16</f>
        <v/>
      </c>
      <c r="F35" s="57">
        <f>TRAMOS!F16</f>
        <v/>
      </c>
      <c r="G35" s="54">
        <f>IF($B$18&lt;&gt;"SI",0,IF($B$16=$B$17,ABS(INDEX($C$76:$AH$109,$B$14,15)-INDEX($C$76:$AH$109,$B$15,15)),INDEX($C$76:$AH$109,$B$14,15)+INDEX($C$76:$AH$109,$B$15,15)))</f>
        <v/>
      </c>
      <c r="H35" s="57">
        <f>D35*$B$6*G35</f>
        <v/>
      </c>
      <c r="I35" s="57">
        <f>E35*(1-$B$6)*G35</f>
        <v/>
      </c>
      <c r="J35" s="57">
        <f>F35*G35</f>
        <v/>
      </c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</row>
    <row r="36">
      <c r="A36" s="54">
        <f>TRAMOS!J17</f>
        <v/>
      </c>
      <c r="B36" s="54">
        <f>TRAMOS!A17</f>
        <v/>
      </c>
      <c r="C36" s="54">
        <f>TRAMOS!I17</f>
        <v/>
      </c>
      <c r="D36" s="57">
        <f>TRAMOS!D17</f>
        <v/>
      </c>
      <c r="E36" s="57">
        <f>TRAMOS!E17</f>
        <v/>
      </c>
      <c r="F36" s="57">
        <f>TRAMOS!F17</f>
        <v/>
      </c>
      <c r="G36" s="54">
        <f>IF($B$18&lt;&gt;"SI",0,IF($B$16=$B$17,ABS(INDEX($C$76:$AH$109,$B$14,16)-INDEX($C$76:$AH$109,$B$15,16)),INDEX($C$76:$AH$109,$B$14,16)+INDEX($C$76:$AH$109,$B$15,16)))</f>
        <v/>
      </c>
      <c r="H36" s="57">
        <f>D36*$B$6*G36</f>
        <v/>
      </c>
      <c r="I36" s="57">
        <f>E36*(1-$B$6)*G36</f>
        <v/>
      </c>
      <c r="J36" s="57">
        <f>F36*G36</f>
        <v/>
      </c>
      <c r="K36" s="54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</row>
    <row r="37">
      <c r="A37" s="54">
        <f>TRAMOS!J18</f>
        <v/>
      </c>
      <c r="B37" s="54">
        <f>TRAMOS!A18</f>
        <v/>
      </c>
      <c r="C37" s="54">
        <f>TRAMOS!I18</f>
        <v/>
      </c>
      <c r="D37" s="57">
        <f>TRAMOS!D18</f>
        <v/>
      </c>
      <c r="E37" s="57">
        <f>TRAMOS!E18</f>
        <v/>
      </c>
      <c r="F37" s="57">
        <f>TRAMOS!F18</f>
        <v/>
      </c>
      <c r="G37" s="54">
        <f>IF($B$18&lt;&gt;"SI",0,IF($B$16=$B$17,ABS(INDEX($C$76:$AH$109,$B$14,17)-INDEX($C$76:$AH$109,$B$15,17)),INDEX($C$76:$AH$109,$B$14,17)+INDEX($C$76:$AH$109,$B$15,17)))</f>
        <v/>
      </c>
      <c r="H37" s="57">
        <f>D37*$B$6*G37</f>
        <v/>
      </c>
      <c r="I37" s="57">
        <f>E37*(1-$B$6)*G37</f>
        <v/>
      </c>
      <c r="J37" s="57">
        <f>F37*G37</f>
        <v/>
      </c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</row>
    <row r="38">
      <c r="A38" s="54">
        <f>TRAMOS!J19</f>
        <v/>
      </c>
      <c r="B38" s="54">
        <f>TRAMOS!A19</f>
        <v/>
      </c>
      <c r="C38" s="54">
        <f>TRAMOS!I19</f>
        <v/>
      </c>
      <c r="D38" s="57">
        <f>TRAMOS!D19</f>
        <v/>
      </c>
      <c r="E38" s="57">
        <f>TRAMOS!E19</f>
        <v/>
      </c>
      <c r="F38" s="57">
        <f>TRAMOS!F19</f>
        <v/>
      </c>
      <c r="G38" s="54">
        <f>IF($B$18&lt;&gt;"SI",0,IF($B$16=$B$17,ABS(INDEX($C$76:$AH$109,$B$14,18)-INDEX($C$76:$AH$109,$B$15,18)),INDEX($C$76:$AH$109,$B$14,18)+INDEX($C$76:$AH$109,$B$15,18)))</f>
        <v/>
      </c>
      <c r="H38" s="57">
        <f>D38*$B$6*G38</f>
        <v/>
      </c>
      <c r="I38" s="57">
        <f>E38*(1-$B$6)*G38</f>
        <v/>
      </c>
      <c r="J38" s="57">
        <f>F38*G38</f>
        <v/>
      </c>
      <c r="K38" s="54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</row>
    <row r="39">
      <c r="A39" s="54">
        <f>TRAMOS!J20</f>
        <v/>
      </c>
      <c r="B39" s="54">
        <f>TRAMOS!A20</f>
        <v/>
      </c>
      <c r="C39" s="54">
        <f>TRAMOS!I20</f>
        <v/>
      </c>
      <c r="D39" s="57">
        <f>TRAMOS!D20</f>
        <v/>
      </c>
      <c r="E39" s="57">
        <f>TRAMOS!E20</f>
        <v/>
      </c>
      <c r="F39" s="57">
        <f>TRAMOS!F20</f>
        <v/>
      </c>
      <c r="G39" s="54">
        <f>IF($B$18&lt;&gt;"SI",0,IF($B$16=$B$17,ABS(INDEX($C$76:$AH$109,$B$14,19)-INDEX($C$76:$AH$109,$B$15,19)),INDEX($C$76:$AH$109,$B$14,19)+INDEX($C$76:$AH$109,$B$15,19)))</f>
        <v/>
      </c>
      <c r="H39" s="57">
        <f>D39*$B$6*G39</f>
        <v/>
      </c>
      <c r="I39" s="57">
        <f>E39*(1-$B$6)*G39</f>
        <v/>
      </c>
      <c r="J39" s="57">
        <f>F39*G39</f>
        <v/>
      </c>
      <c r="K39" s="54" t="n"/>
      <c r="L39" s="54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</row>
    <row r="40">
      <c r="A40" s="54">
        <f>TRAMOS!J21</f>
        <v/>
      </c>
      <c r="B40" s="54">
        <f>TRAMOS!A21</f>
        <v/>
      </c>
      <c r="C40" s="54">
        <f>TRAMOS!I21</f>
        <v/>
      </c>
      <c r="D40" s="57">
        <f>TRAMOS!D21</f>
        <v/>
      </c>
      <c r="E40" s="57">
        <f>TRAMOS!E21</f>
        <v/>
      </c>
      <c r="F40" s="57">
        <f>TRAMOS!F21</f>
        <v/>
      </c>
      <c r="G40" s="54">
        <f>IF($B$18&lt;&gt;"SI",0,IF($B$16=$B$17,ABS(INDEX($C$76:$AH$109,$B$14,20)-INDEX($C$76:$AH$109,$B$15,20)),INDEX($C$76:$AH$109,$B$14,20)+INDEX($C$76:$AH$109,$B$15,20)))</f>
        <v/>
      </c>
      <c r="H40" s="57">
        <f>D40*$B$6*G40</f>
        <v/>
      </c>
      <c r="I40" s="57">
        <f>E40*(1-$B$6)*G40</f>
        <v/>
      </c>
      <c r="J40" s="57">
        <f>F40*G40</f>
        <v/>
      </c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</row>
    <row r="41">
      <c r="A41" s="54">
        <f>TRAMOS!J22</f>
        <v/>
      </c>
      <c r="B41" s="54">
        <f>TRAMOS!A22</f>
        <v/>
      </c>
      <c r="C41" s="54">
        <f>TRAMOS!I22</f>
        <v/>
      </c>
      <c r="D41" s="57">
        <f>TRAMOS!D22</f>
        <v/>
      </c>
      <c r="E41" s="57">
        <f>TRAMOS!E22</f>
        <v/>
      </c>
      <c r="F41" s="57">
        <f>TRAMOS!F22</f>
        <v/>
      </c>
      <c r="G41" s="54">
        <f>IF($B$18&lt;&gt;"SI",0,IF($B$16=$B$17,ABS(INDEX($C$76:$AH$109,$B$14,21)-INDEX($C$76:$AH$109,$B$15,21)),INDEX($C$76:$AH$109,$B$14,21)+INDEX($C$76:$AH$109,$B$15,21)))</f>
        <v/>
      </c>
      <c r="H41" s="57">
        <f>D41*$B$6*G41</f>
        <v/>
      </c>
      <c r="I41" s="57">
        <f>E41*(1-$B$6)*G41</f>
        <v/>
      </c>
      <c r="J41" s="57">
        <f>F41*G41</f>
        <v/>
      </c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</row>
    <row r="42">
      <c r="A42" s="54">
        <f>TRAMOS!J23</f>
        <v/>
      </c>
      <c r="B42" s="54">
        <f>TRAMOS!A23</f>
        <v/>
      </c>
      <c r="C42" s="54">
        <f>TRAMOS!I23</f>
        <v/>
      </c>
      <c r="D42" s="57">
        <f>TRAMOS!D23</f>
        <v/>
      </c>
      <c r="E42" s="57">
        <f>TRAMOS!E23</f>
        <v/>
      </c>
      <c r="F42" s="57">
        <f>TRAMOS!F23</f>
        <v/>
      </c>
      <c r="G42" s="54">
        <f>IF($B$18&lt;&gt;"SI",0,IF($B$16=$B$17,ABS(INDEX($C$76:$AH$109,$B$14,22)-INDEX($C$76:$AH$109,$B$15,22)),INDEX($C$76:$AH$109,$B$14,22)+INDEX($C$76:$AH$109,$B$15,22)))</f>
        <v/>
      </c>
      <c r="H42" s="57">
        <f>D42*$B$6*G42</f>
        <v/>
      </c>
      <c r="I42" s="57">
        <f>E42*(1-$B$6)*G42</f>
        <v/>
      </c>
      <c r="J42" s="57">
        <f>F42*G42</f>
        <v/>
      </c>
      <c r="K42" s="54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</row>
    <row r="43">
      <c r="A43" s="54">
        <f>TRAMOS!J24</f>
        <v/>
      </c>
      <c r="B43" s="54">
        <f>TRAMOS!A24</f>
        <v/>
      </c>
      <c r="C43" s="54">
        <f>TRAMOS!I24</f>
        <v/>
      </c>
      <c r="D43" s="57">
        <f>TRAMOS!D24</f>
        <v/>
      </c>
      <c r="E43" s="57">
        <f>TRAMOS!E24</f>
        <v/>
      </c>
      <c r="F43" s="57">
        <f>TRAMOS!F24</f>
        <v/>
      </c>
      <c r="G43" s="54">
        <f>IF($B$18&lt;&gt;"SI",0,IF($B$16=$B$17,ABS(INDEX($C$76:$AH$109,$B$14,23)-INDEX($C$76:$AH$109,$B$15,23)),INDEX($C$76:$AH$109,$B$14,23)+INDEX($C$76:$AH$109,$B$15,23)))</f>
        <v/>
      </c>
      <c r="H43" s="57">
        <f>D43*$B$6*G43</f>
        <v/>
      </c>
      <c r="I43" s="57">
        <f>E43*(1-$B$6)*G43</f>
        <v/>
      </c>
      <c r="J43" s="57">
        <f>F43*G43</f>
        <v/>
      </c>
      <c r="K43" s="54" t="n"/>
      <c r="L43" s="54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</row>
    <row r="44">
      <c r="A44" s="54">
        <f>TRAMOS!J25</f>
        <v/>
      </c>
      <c r="B44" s="54">
        <f>TRAMOS!A25</f>
        <v/>
      </c>
      <c r="C44" s="54">
        <f>TRAMOS!I25</f>
        <v/>
      </c>
      <c r="D44" s="57">
        <f>TRAMOS!D25</f>
        <v/>
      </c>
      <c r="E44" s="57">
        <f>TRAMOS!E25</f>
        <v/>
      </c>
      <c r="F44" s="57">
        <f>TRAMOS!F25</f>
        <v/>
      </c>
      <c r="G44" s="54">
        <f>IF($B$18&lt;&gt;"SI",0,IF($B$16=$B$17,ABS(INDEX($C$76:$AH$109,$B$14,24)-INDEX($C$76:$AH$109,$B$15,24)),INDEX($C$76:$AH$109,$B$14,24)+INDEX($C$76:$AH$109,$B$15,24)))</f>
        <v/>
      </c>
      <c r="H44" s="57">
        <f>D44*$B$6*G44</f>
        <v/>
      </c>
      <c r="I44" s="57">
        <f>E44*(1-$B$6)*G44</f>
        <v/>
      </c>
      <c r="J44" s="57">
        <f>F44*G44</f>
        <v/>
      </c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</row>
    <row r="45">
      <c r="A45" s="54">
        <f>TRAMOS!J26</f>
        <v/>
      </c>
      <c r="B45" s="54">
        <f>TRAMOS!A26</f>
        <v/>
      </c>
      <c r="C45" s="54">
        <f>TRAMOS!I26</f>
        <v/>
      </c>
      <c r="D45" s="57">
        <f>TRAMOS!D26</f>
        <v/>
      </c>
      <c r="E45" s="57">
        <f>TRAMOS!E26</f>
        <v/>
      </c>
      <c r="F45" s="57">
        <f>TRAMOS!F26</f>
        <v/>
      </c>
      <c r="G45" s="54">
        <f>IF($B$18&lt;&gt;"SI",0,IF($B$16=$B$17,ABS(INDEX($C$76:$AH$109,$B$14,25)-INDEX($C$76:$AH$109,$B$15,25)),INDEX($C$76:$AH$109,$B$14,25)+INDEX($C$76:$AH$109,$B$15,25)))</f>
        <v/>
      </c>
      <c r="H45" s="57">
        <f>D45*$B$6*G45</f>
        <v/>
      </c>
      <c r="I45" s="57">
        <f>E45*(1-$B$6)*G45</f>
        <v/>
      </c>
      <c r="J45" s="57">
        <f>F45*G45</f>
        <v/>
      </c>
      <c r="K45" s="54" t="n"/>
      <c r="L45" s="54" t="n"/>
      <c r="M45" s="54" t="n"/>
      <c r="N45" s="54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</row>
    <row r="46">
      <c r="A46" s="54">
        <f>TRAMOS!J27</f>
        <v/>
      </c>
      <c r="B46" s="54">
        <f>TRAMOS!A27</f>
        <v/>
      </c>
      <c r="C46" s="54">
        <f>TRAMOS!I27</f>
        <v/>
      </c>
      <c r="D46" s="57">
        <f>TRAMOS!D27</f>
        <v/>
      </c>
      <c r="E46" s="57">
        <f>TRAMOS!E27</f>
        <v/>
      </c>
      <c r="F46" s="57">
        <f>TRAMOS!F27</f>
        <v/>
      </c>
      <c r="G46" s="54">
        <f>IF($B$18&lt;&gt;"SI",0,IF($B$16=$B$17,ABS(INDEX($C$76:$AH$109,$B$14,26)-INDEX($C$76:$AH$109,$B$15,26)),INDEX($C$76:$AH$109,$B$14,26)+INDEX($C$76:$AH$109,$B$15,26)))</f>
        <v/>
      </c>
      <c r="H46" s="57">
        <f>D46*$B$6*G46</f>
        <v/>
      </c>
      <c r="I46" s="57">
        <f>E46*(1-$B$6)*G46</f>
        <v/>
      </c>
      <c r="J46" s="57">
        <f>F46*G46</f>
        <v/>
      </c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</row>
    <row r="47">
      <c r="A47" s="54">
        <f>TRAMOS!J28</f>
        <v/>
      </c>
      <c r="B47" s="54">
        <f>TRAMOS!A28</f>
        <v/>
      </c>
      <c r="C47" s="54">
        <f>TRAMOS!I28</f>
        <v/>
      </c>
      <c r="D47" s="57">
        <f>TRAMOS!D28</f>
        <v/>
      </c>
      <c r="E47" s="57">
        <f>TRAMOS!E28</f>
        <v/>
      </c>
      <c r="F47" s="57">
        <f>TRAMOS!F28</f>
        <v/>
      </c>
      <c r="G47" s="54">
        <f>IF($B$18&lt;&gt;"SI",0,IF($B$16=$B$17,ABS(INDEX($C$76:$AH$109,$B$14,27)-INDEX($C$76:$AH$109,$B$15,27)),INDEX($C$76:$AH$109,$B$14,27)+INDEX($C$76:$AH$109,$B$15,27)))</f>
        <v/>
      </c>
      <c r="H47" s="57">
        <f>D47*$B$6*G47</f>
        <v/>
      </c>
      <c r="I47" s="57">
        <f>E47*(1-$B$6)*G47</f>
        <v/>
      </c>
      <c r="J47" s="57">
        <f>F47*G47</f>
        <v/>
      </c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</row>
    <row r="48">
      <c r="A48" s="54">
        <f>TRAMOS!J29</f>
        <v/>
      </c>
      <c r="B48" s="54">
        <f>TRAMOS!A29</f>
        <v/>
      </c>
      <c r="C48" s="54">
        <f>TRAMOS!I29</f>
        <v/>
      </c>
      <c r="D48" s="57">
        <f>TRAMOS!D29</f>
        <v/>
      </c>
      <c r="E48" s="57">
        <f>TRAMOS!E29</f>
        <v/>
      </c>
      <c r="F48" s="57">
        <f>TRAMOS!F29</f>
        <v/>
      </c>
      <c r="G48" s="54">
        <f>IF($B$18&lt;&gt;"SI",0,IF($B$16=$B$17,ABS(INDEX($C$76:$AH$109,$B$14,28)-INDEX($C$76:$AH$109,$B$15,28)),INDEX($C$76:$AH$109,$B$14,28)+INDEX($C$76:$AH$109,$B$15,28)))</f>
        <v/>
      </c>
      <c r="H48" s="57">
        <f>D48*$B$6*G48</f>
        <v/>
      </c>
      <c r="I48" s="57">
        <f>E48*(1-$B$6)*G48</f>
        <v/>
      </c>
      <c r="J48" s="57">
        <f>F48*G48</f>
        <v/>
      </c>
      <c r="K48" s="54" t="n"/>
      <c r="L48" s="54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</row>
    <row r="49">
      <c r="A49" s="54">
        <f>TRAMOS!J30</f>
        <v/>
      </c>
      <c r="B49" s="54">
        <f>TRAMOS!A30</f>
        <v/>
      </c>
      <c r="C49" s="54">
        <f>TRAMOS!I30</f>
        <v/>
      </c>
      <c r="D49" s="57">
        <f>TRAMOS!D30</f>
        <v/>
      </c>
      <c r="E49" s="57">
        <f>TRAMOS!E30</f>
        <v/>
      </c>
      <c r="F49" s="57">
        <f>TRAMOS!F30</f>
        <v/>
      </c>
      <c r="G49" s="54">
        <f>IF($B$18&lt;&gt;"SI",0,IF($B$16=$B$17,ABS(INDEX($C$76:$AH$109,$B$14,29)-INDEX($C$76:$AH$109,$B$15,29)),INDEX($C$76:$AH$109,$B$14,29)+INDEX($C$76:$AH$109,$B$15,29)))</f>
        <v/>
      </c>
      <c r="H49" s="57">
        <f>D49*$B$6*G49</f>
        <v/>
      </c>
      <c r="I49" s="57">
        <f>E49*(1-$B$6)*G49</f>
        <v/>
      </c>
      <c r="J49" s="57">
        <f>F49*G49</f>
        <v/>
      </c>
      <c r="K49" s="54" t="n"/>
      <c r="L49" s="54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</row>
    <row r="50">
      <c r="A50" s="54">
        <f>TRAMOS!J31</f>
        <v/>
      </c>
      <c r="B50" s="54">
        <f>TRAMOS!A31</f>
        <v/>
      </c>
      <c r="C50" s="54">
        <f>TRAMOS!I31</f>
        <v/>
      </c>
      <c r="D50" s="57">
        <f>TRAMOS!D31</f>
        <v/>
      </c>
      <c r="E50" s="57">
        <f>TRAMOS!E31</f>
        <v/>
      </c>
      <c r="F50" s="57">
        <f>TRAMOS!F31</f>
        <v/>
      </c>
      <c r="G50" s="54">
        <f>IF($B$18&lt;&gt;"SI",0,IF($B$16=$B$17,ABS(INDEX($C$76:$AH$109,$B$14,30)-INDEX($C$76:$AH$109,$B$15,30)),INDEX($C$76:$AH$109,$B$14,30)+INDEX($C$76:$AH$109,$B$15,30)))</f>
        <v/>
      </c>
      <c r="H50" s="57">
        <f>D50*$B$6*G50</f>
        <v/>
      </c>
      <c r="I50" s="57">
        <f>E50*(1-$B$6)*G50</f>
        <v/>
      </c>
      <c r="J50" s="57">
        <f>F50*G50</f>
        <v/>
      </c>
      <c r="K50" s="54" t="n"/>
      <c r="L50" s="54" t="n"/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</row>
    <row r="51">
      <c r="A51" s="54">
        <f>TRAMOS!J32</f>
        <v/>
      </c>
      <c r="B51" s="54">
        <f>TRAMOS!A32</f>
        <v/>
      </c>
      <c r="C51" s="54">
        <f>TRAMOS!I32</f>
        <v/>
      </c>
      <c r="D51" s="57">
        <f>TRAMOS!D32</f>
        <v/>
      </c>
      <c r="E51" s="57">
        <f>TRAMOS!E32</f>
        <v/>
      </c>
      <c r="F51" s="57">
        <f>TRAMOS!F32</f>
        <v/>
      </c>
      <c r="G51" s="54">
        <f>IF($B$18&lt;&gt;"SI",0,IF($B$16=$B$17,ABS(INDEX($C$76:$AH$109,$B$14,31)-INDEX($C$76:$AH$109,$B$15,31)),INDEX($C$76:$AH$109,$B$14,31)+INDEX($C$76:$AH$109,$B$15,31)))</f>
        <v/>
      </c>
      <c r="H51" s="57">
        <f>D51*$B$6*G51</f>
        <v/>
      </c>
      <c r="I51" s="57">
        <f>E51*(1-$B$6)*G51</f>
        <v/>
      </c>
      <c r="J51" s="57">
        <f>F51*G51</f>
        <v/>
      </c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</row>
    <row r="52">
      <c r="A52" s="54">
        <f>TRAMOS!J33</f>
        <v/>
      </c>
      <c r="B52" s="54">
        <f>TRAMOS!A33</f>
        <v/>
      </c>
      <c r="C52" s="54">
        <f>TRAMOS!I33</f>
        <v/>
      </c>
      <c r="D52" s="57">
        <f>TRAMOS!D33</f>
        <v/>
      </c>
      <c r="E52" s="57">
        <f>TRAMOS!E33</f>
        <v/>
      </c>
      <c r="F52" s="57">
        <f>TRAMOS!F33</f>
        <v/>
      </c>
      <c r="G52" s="54">
        <f>IF($B$18&lt;&gt;"SI",0,IF($B$16=$B$17,ABS(INDEX($C$76:$AH$109,$B$14,32)-INDEX($C$76:$AH$109,$B$15,32)),INDEX($C$76:$AH$109,$B$14,32)+INDEX($C$76:$AH$109,$B$15,32)))</f>
        <v/>
      </c>
      <c r="H52" s="57">
        <f>D52*$B$6*G52</f>
        <v/>
      </c>
      <c r="I52" s="57">
        <f>E52*(1-$B$6)*G52</f>
        <v/>
      </c>
      <c r="J52" s="57">
        <f>F52*G52</f>
        <v/>
      </c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</row>
    <row r="53">
      <c r="A53" s="54" t="n"/>
      <c r="B53" s="53" t="inlineStr">
        <is>
          <t>TOTALES</t>
        </is>
      </c>
      <c r="C53" s="54" t="n"/>
      <c r="D53" s="54" t="n"/>
      <c r="E53" s="54" t="n"/>
      <c r="F53" s="54" t="n"/>
      <c r="G53" s="54" t="n"/>
      <c r="H53" s="62">
        <f>SUM(H21:H52)</f>
        <v/>
      </c>
      <c r="I53" s="62">
        <f>SUM(I21:I52)</f>
        <v/>
      </c>
      <c r="J53" s="62">
        <f>SUM(J21:J52)</f>
        <v/>
      </c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</row>
    <row r="55">
      <c r="A55" s="53" t="inlineStr">
        <is>
          <t>DESGLOSE POR TRANSPORTADOR</t>
        </is>
      </c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</row>
    <row r="56">
      <c r="A56" s="61" t="inlineStr">
        <is>
          <t>Transportador</t>
        </is>
      </c>
      <c r="B56" s="61" t="inlineStr">
        <is>
          <t>Usa</t>
        </is>
      </c>
      <c r="C56" s="61" t="inlineStr">
        <is>
          <t>Fijos pond.</t>
        </is>
      </c>
      <c r="D56" s="61" t="inlineStr">
        <is>
          <t>Variables pond.</t>
        </is>
      </c>
      <c r="E56" s="61" t="inlineStr">
        <is>
          <t>AOM</t>
        </is>
      </c>
      <c r="F56" s="61" t="inlineStr">
        <is>
          <t>Estampilla</t>
        </is>
      </c>
      <c r="G56" s="61" t="inlineStr">
        <is>
          <t>Base</t>
        </is>
      </c>
      <c r="H56" s="61" t="inlineStr">
        <is>
          <t>% Fomento</t>
        </is>
      </c>
      <c r="I56" s="61" t="inlineStr">
        <is>
          <t>Fomento</t>
        </is>
      </c>
      <c r="J56" s="61" t="inlineStr">
        <is>
          <t>% Impuesto</t>
        </is>
      </c>
      <c r="K56" s="61" t="inlineStr">
        <is>
          <t>Impuesto</t>
        </is>
      </c>
      <c r="L56" s="61" t="inlineStr">
        <is>
          <t>Total</t>
        </is>
      </c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</row>
    <row r="57">
      <c r="A57" s="55" t="inlineStr">
        <is>
          <t>TGI</t>
        </is>
      </c>
      <c r="B57" s="54">
        <f>IF(SUMPRODUCT(($C$21:$C$52=$A57)*$G$21:$G$52)&gt;0,"SI","NO")</f>
        <v/>
      </c>
      <c r="C57" s="57">
        <f>SUMPRODUCT(($C$21:$C$52=$A57)*$H$21:$H$52)</f>
        <v/>
      </c>
      <c r="D57" s="57">
        <f>SUMPRODUCT(($C$21:$C$52=$A57)*$I$21:$I$52)</f>
        <v/>
      </c>
      <c r="E57" s="57">
        <f>SUMPRODUCT(($C$21:$C$52=$A57)*$J$21:$J$52)</f>
        <v/>
      </c>
      <c r="F57" s="57">
        <f>IF($B57="SI",SUMIF(TRAMOS!$L$2:$L$3,$A57,TRAMOS!$M$2:$M$3)*$B$6+SUMIF(TRAMOS!$L$2:$L$3,$A57,TRAMOS!$N$2:$N$3)*(1-$B$6)+SUMIF(TRAMOS!$L$2:$L$3,$A57,TRAMOS!$O$2:$O$3),0)</f>
        <v/>
      </c>
      <c r="G57" s="57">
        <f>C57+D57+E57+F57</f>
        <v/>
      </c>
      <c r="H57" s="56">
        <f>$B$9</f>
        <v/>
      </c>
      <c r="I57" s="57">
        <f>G57*H57</f>
        <v/>
      </c>
      <c r="J57" s="56">
        <f>$B$8</f>
        <v/>
      </c>
      <c r="K57" s="57">
        <f>G57*J57</f>
        <v/>
      </c>
      <c r="L57" s="57">
        <f>G57+I57+K57</f>
        <v/>
      </c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</row>
    <row r="58">
      <c r="A58" s="55" t="inlineStr">
        <is>
          <t>PROMIGAS</t>
        </is>
      </c>
      <c r="B58" s="54">
        <f>IF(SUMPRODUCT(($C$21:$C$52=$A58)*$G$21:$G$52)&gt;0,"SI","NO")</f>
        <v/>
      </c>
      <c r="C58" s="57">
        <f>SUMPRODUCT(($C$21:$C$52=$A58)*$H$21:$H$52)</f>
        <v/>
      </c>
      <c r="D58" s="57">
        <f>SUMPRODUCT(($C$21:$C$52=$A58)*$I$21:$I$52)</f>
        <v/>
      </c>
      <c r="E58" s="57">
        <f>SUMPRODUCT(($C$21:$C$52=$A58)*$J$21:$J$52)</f>
        <v/>
      </c>
      <c r="F58" s="57">
        <f>IF($B58="SI",SUMIF(TRAMOS!$L$2:$L$3,$A58,TRAMOS!$M$2:$M$3)*$B$6+SUMIF(TRAMOS!$L$2:$L$3,$A58,TRAMOS!$N$2:$N$3)*(1-$B$6)+SUMIF(TRAMOS!$L$2:$L$3,$A58,TRAMOS!$O$2:$O$3),0)</f>
        <v/>
      </c>
      <c r="G58" s="57">
        <f>C58+D58+E58+F58</f>
        <v/>
      </c>
      <c r="H58" s="56">
        <f>$B$10</f>
        <v/>
      </c>
      <c r="I58" s="57">
        <f>G58*H58</f>
        <v/>
      </c>
      <c r="J58" s="56">
        <f>$B$11</f>
        <v/>
      </c>
      <c r="K58" s="57">
        <f>G58*J58</f>
        <v/>
      </c>
      <c r="L58" s="57">
        <f>G58+I58+K58</f>
        <v/>
      </c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</row>
    <row r="59">
      <c r="A59" s="53" t="inlineStr">
        <is>
          <t>TOTALES</t>
        </is>
      </c>
      <c r="B59" s="54" t="n"/>
      <c r="C59" s="62">
        <f>SUM(C57:C58)</f>
        <v/>
      </c>
      <c r="D59" s="62">
        <f>SUM(D57:D58)</f>
        <v/>
      </c>
      <c r="E59" s="62">
        <f>SUM(E57:E58)</f>
        <v/>
      </c>
      <c r="F59" s="62">
        <f>SUM(F57:F58)</f>
        <v/>
      </c>
      <c r="G59" s="62">
        <f>SUM(G57:G58)</f>
        <v/>
      </c>
      <c r="H59" s="54" t="n"/>
      <c r="I59" s="62">
        <f>SUM(I57:I58)</f>
        <v/>
      </c>
      <c r="J59" s="54" t="n"/>
      <c r="K59" s="62">
        <f>SUM(K57:K58)</f>
        <v/>
      </c>
      <c r="L59" s="62">
        <f>SUM(L57:L58)</f>
        <v/>
      </c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</row>
    <row r="61">
      <c r="A61" s="53" t="inlineStr">
        <is>
          <t>RESULTADOS</t>
        </is>
      </c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</row>
    <row r="62">
      <c r="A62" s="55" t="inlineStr">
        <is>
          <t>Subtotal tramos (COP)</t>
        </is>
      </c>
      <c r="B62" s="57">
        <f>H53+I53+J53</f>
        <v/>
      </c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</row>
    <row r="63">
      <c r="A63" s="55" t="inlineStr">
        <is>
          <t>Total estampillas (COP)</t>
        </is>
      </c>
      <c r="B63" s="57">
        <f>F59</f>
        <v/>
      </c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</row>
    <row r="64">
      <c r="A64" s="55" t="inlineStr">
        <is>
          <t>Costo base transporte (COP/KPC)</t>
        </is>
      </c>
      <c r="B64" s="57">
        <f>G59</f>
        <v/>
      </c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</row>
    <row r="65">
      <c r="A65" s="55" t="inlineStr">
        <is>
          <t>Cuota de fomento total (COP/KPC)</t>
        </is>
      </c>
      <c r="B65" s="57">
        <f>I59</f>
        <v/>
      </c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</row>
    <row r="66">
      <c r="A66" s="55" t="inlineStr">
        <is>
          <t>Impuesto local total (COP/KPC)</t>
        </is>
      </c>
      <c r="B66" s="57">
        <f>K59</f>
        <v/>
      </c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</row>
    <row r="67">
      <c r="A67" s="55" t="inlineStr">
        <is>
          <t>TOTAL (COP/KPC)</t>
        </is>
      </c>
      <c r="B67" s="62">
        <f>L59</f>
        <v/>
      </c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</row>
    <row r="68">
      <c r="A68" s="55" t="inlineStr">
        <is>
          <t>Costo base transporte (USD/KPC)</t>
        </is>
      </c>
      <c r="B68" s="63">
        <f>IF(B7=0,0,B64/B7)</f>
        <v/>
      </c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</row>
    <row r="69">
      <c r="A69" s="55" t="inlineStr">
        <is>
          <t>TOTAL (USD/KPC)</t>
        </is>
      </c>
      <c r="B69" s="64">
        <f>IF(B7=0,0,B67/B7)</f>
        <v/>
      </c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</row>
    <row r="71">
      <c r="A71" s="55" t="inlineStr">
        <is>
          <t>Tramos utilizados (texto)</t>
        </is>
      </c>
      <c r="B71" s="54">
        <f t="array" ref="B71">IF(B18&lt;&gt;"SI","",_xlfn.TEXTJOIN(" -&gt; ",TRUE,IF($G$21:$G$52=1,$B$21:$B$52,"")))</f>
        <v/>
      </c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</row>
    <row r="74">
      <c r="A74" s="66" t="inlineStr">
        <is>
          <t>MATRIZ DE PERTENENCIA (tramos entre el nodo y el punto de entrada de su red) - generada por tools/actualizar_excel.py</t>
        </is>
      </c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</row>
    <row r="75">
      <c r="A75" s="61" t="inlineStr">
        <is>
          <t>Nodo</t>
        </is>
      </c>
      <c r="B75" s="61" t="inlineStr">
        <is>
          <t>Red</t>
        </is>
      </c>
      <c r="C75" s="61" t="n">
        <v>1</v>
      </c>
      <c r="D75" s="61" t="n">
        <v>2</v>
      </c>
      <c r="E75" s="61" t="n">
        <v>3</v>
      </c>
      <c r="F75" s="61" t="n">
        <v>4</v>
      </c>
      <c r="G75" s="61" t="n">
        <v>5</v>
      </c>
      <c r="H75" s="61" t="n">
        <v>6</v>
      </c>
      <c r="I75" s="61" t="n">
        <v>7</v>
      </c>
      <c r="J75" s="61" t="n">
        <v>8</v>
      </c>
      <c r="K75" s="61" t="n">
        <v>9</v>
      </c>
      <c r="L75" s="61" t="n">
        <v>10</v>
      </c>
      <c r="M75" s="61" t="n">
        <v>11</v>
      </c>
      <c r="N75" s="61" t="n">
        <v>12</v>
      </c>
      <c r="O75" s="61" t="n">
        <v>13</v>
      </c>
      <c r="P75" s="61" t="n">
        <v>14</v>
      </c>
      <c r="Q75" s="61" t="n">
        <v>15</v>
      </c>
      <c r="R75" s="61" t="n">
        <v>16</v>
      </c>
      <c r="S75" s="61" t="n">
        <v>17</v>
      </c>
      <c r="T75" s="61" t="n">
        <v>18</v>
      </c>
      <c r="U75" s="61" t="n">
        <v>19</v>
      </c>
      <c r="V75" s="61" t="n">
        <v>20</v>
      </c>
      <c r="W75" s="61" t="n">
        <v>21</v>
      </c>
      <c r="X75" s="61" t="n">
        <v>22</v>
      </c>
      <c r="Y75" s="61" t="n">
        <v>23</v>
      </c>
      <c r="Z75" s="61" t="n">
        <v>24</v>
      </c>
      <c r="AA75" s="61" t="n">
        <v>25</v>
      </c>
      <c r="AB75" s="61" t="n">
        <v>26</v>
      </c>
      <c r="AC75" s="61" t="n">
        <v>27</v>
      </c>
      <c r="AD75" s="61" t="n">
        <v>28</v>
      </c>
      <c r="AE75" s="61" t="n">
        <v>29</v>
      </c>
      <c r="AF75" s="61" t="n">
        <v>30</v>
      </c>
      <c r="AG75" s="61" t="n">
        <v>31</v>
      </c>
      <c r="AH75" s="61" t="n">
        <v>32</v>
      </c>
      <c r="AI75" s="54" t="n"/>
      <c r="AJ75" s="54" t="n"/>
      <c r="AK75" s="54" t="n"/>
      <c r="AL75" s="54" t="n"/>
      <c r="AM75" s="54" t="n"/>
      <c r="AN75" s="54" t="n"/>
    </row>
    <row r="76">
      <c r="A76" s="54" t="inlineStr">
        <is>
          <t>Acopi</t>
        </is>
      </c>
      <c r="B76" s="54" t="n">
        <v>0</v>
      </c>
      <c r="C76" s="54" t="n">
        <v>1</v>
      </c>
      <c r="D76" s="54" t="n">
        <v>1</v>
      </c>
      <c r="E76" s="54" t="n">
        <v>0</v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1</v>
      </c>
      <c r="L76" s="54" t="n">
        <v>1</v>
      </c>
      <c r="M76" s="54" t="n">
        <v>0</v>
      </c>
      <c r="N76" s="54" t="n">
        <v>0</v>
      </c>
      <c r="O76" s="54" t="n">
        <v>0</v>
      </c>
      <c r="P76" s="54" t="n">
        <v>1</v>
      </c>
      <c r="Q76" s="54" t="n">
        <v>1</v>
      </c>
      <c r="R76" s="54" t="n">
        <v>1</v>
      </c>
      <c r="S76" s="54" t="n">
        <v>1</v>
      </c>
      <c r="T76" s="54" t="n">
        <v>0</v>
      </c>
      <c r="U76" s="54" t="n">
        <v>0</v>
      </c>
      <c r="V76" s="54" t="n">
        <v>0</v>
      </c>
      <c r="W76" s="54" t="n">
        <v>0</v>
      </c>
      <c r="X76" s="54" t="n">
        <v>0</v>
      </c>
      <c r="Y76" s="54" t="n">
        <v>0</v>
      </c>
      <c r="Z76" s="54" t="n">
        <v>0</v>
      </c>
      <c r="AA76" s="54" t="n">
        <v>0</v>
      </c>
      <c r="AB76" s="54" t="n">
        <v>0</v>
      </c>
      <c r="AC76" s="54" t="n">
        <v>0</v>
      </c>
      <c r="AD76" s="54" t="n">
        <v>0</v>
      </c>
      <c r="AE76" s="54" t="n">
        <v>0</v>
      </c>
      <c r="AF76" s="54" t="n">
        <v>0</v>
      </c>
      <c r="AG76" s="54" t="n">
        <v>0</v>
      </c>
      <c r="AH76" s="54" t="n">
        <v>0</v>
      </c>
      <c r="AI76" s="54" t="n"/>
      <c r="AJ76" s="54" t="n"/>
      <c r="AK76" s="54" t="n"/>
      <c r="AL76" s="54" t="n"/>
      <c r="AM76" s="54" t="n"/>
      <c r="AN76" s="54" t="n"/>
    </row>
    <row r="77">
      <c r="A77" s="54" t="inlineStr">
        <is>
          <t>Apiay</t>
        </is>
      </c>
      <c r="B77" s="54" t="n">
        <v>0</v>
      </c>
      <c r="C77" s="54" t="n">
        <v>1</v>
      </c>
      <c r="D77" s="54" t="n">
        <v>1</v>
      </c>
      <c r="E77" s="54" t="n">
        <v>0</v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1</v>
      </c>
      <c r="L77" s="54" t="n">
        <v>0</v>
      </c>
      <c r="M77" s="54" t="n">
        <v>0</v>
      </c>
      <c r="N77" s="54" t="n">
        <v>0</v>
      </c>
      <c r="O77" s="54" t="n">
        <v>0</v>
      </c>
      <c r="P77" s="54" t="n">
        <v>0</v>
      </c>
      <c r="Q77" s="54" t="n">
        <v>0</v>
      </c>
      <c r="R77" s="54" t="n">
        <v>0</v>
      </c>
      <c r="S77" s="54" t="n">
        <v>0</v>
      </c>
      <c r="T77" s="54" t="n">
        <v>1</v>
      </c>
      <c r="U77" s="54" t="n">
        <v>0</v>
      </c>
      <c r="V77" s="54" t="n">
        <v>0</v>
      </c>
      <c r="W77" s="54" t="n">
        <v>1</v>
      </c>
      <c r="X77" s="54" t="n">
        <v>1</v>
      </c>
      <c r="Y77" s="54" t="n">
        <v>1</v>
      </c>
      <c r="Z77" s="54" t="n">
        <v>0</v>
      </c>
      <c r="AA77" s="54" t="n">
        <v>0</v>
      </c>
      <c r="AB77" s="54" t="n">
        <v>0</v>
      </c>
      <c r="AC77" s="54" t="n">
        <v>0</v>
      </c>
      <c r="AD77" s="54" t="n">
        <v>0</v>
      </c>
      <c r="AE77" s="54" t="n">
        <v>0</v>
      </c>
      <c r="AF77" s="54" t="n">
        <v>0</v>
      </c>
      <c r="AG77" s="54" t="n">
        <v>0</v>
      </c>
      <c r="AH77" s="54" t="n">
        <v>0</v>
      </c>
      <c r="AI77" s="54" t="n"/>
      <c r="AJ77" s="54" t="n"/>
      <c r="AK77" s="54" t="n"/>
      <c r="AL77" s="54" t="n"/>
      <c r="AM77" s="54" t="n"/>
      <c r="AN77" s="54" t="n"/>
    </row>
    <row r="78">
      <c r="A78" s="54" t="inlineStr">
        <is>
          <t>Armenia</t>
        </is>
      </c>
      <c r="B78" s="54" t="n">
        <v>0</v>
      </c>
      <c r="C78" s="54" t="n">
        <v>1</v>
      </c>
      <c r="D78" s="54" t="n">
        <v>1</v>
      </c>
      <c r="E78" s="54" t="n">
        <v>0</v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1</v>
      </c>
      <c r="L78" s="54" t="n">
        <v>1</v>
      </c>
      <c r="M78" s="54" t="n">
        <v>0</v>
      </c>
      <c r="N78" s="54" t="n">
        <v>0</v>
      </c>
      <c r="O78" s="54" t="n">
        <v>0</v>
      </c>
      <c r="P78" s="54" t="n">
        <v>1</v>
      </c>
      <c r="Q78" s="54" t="n">
        <v>1</v>
      </c>
      <c r="R78" s="54" t="n">
        <v>0</v>
      </c>
      <c r="S78" s="54" t="n">
        <v>0</v>
      </c>
      <c r="T78" s="54" t="n">
        <v>0</v>
      </c>
      <c r="U78" s="54" t="n">
        <v>0</v>
      </c>
      <c r="V78" s="54" t="n">
        <v>0</v>
      </c>
      <c r="W78" s="54" t="n">
        <v>0</v>
      </c>
      <c r="X78" s="54" t="n">
        <v>0</v>
      </c>
      <c r="Y78" s="54" t="n">
        <v>0</v>
      </c>
      <c r="Z78" s="54" t="n">
        <v>0</v>
      </c>
      <c r="AA78" s="54" t="n">
        <v>0</v>
      </c>
      <c r="AB78" s="54" t="n">
        <v>0</v>
      </c>
      <c r="AC78" s="54" t="n">
        <v>0</v>
      </c>
      <c r="AD78" s="54" t="n">
        <v>0</v>
      </c>
      <c r="AE78" s="54" t="n">
        <v>0</v>
      </c>
      <c r="AF78" s="54" t="n">
        <v>0</v>
      </c>
      <c r="AG78" s="54" t="n">
        <v>0</v>
      </c>
      <c r="AH78" s="54" t="n">
        <v>0</v>
      </c>
      <c r="AI78" s="54" t="n"/>
      <c r="AJ78" s="54" t="n"/>
      <c r="AK78" s="54" t="n"/>
      <c r="AL78" s="54" t="n"/>
      <c r="AM78" s="54" t="n"/>
      <c r="AN78" s="54" t="n"/>
    </row>
    <row r="79">
      <c r="A79" s="54" t="inlineStr">
        <is>
          <t>Ballenas_prom</t>
        </is>
      </c>
      <c r="B79" s="54" t="n">
        <v>1</v>
      </c>
      <c r="C79" s="54" t="n">
        <v>0</v>
      </c>
      <c r="D79" s="54" t="n">
        <v>0</v>
      </c>
      <c r="E79" s="54" t="n">
        <v>0</v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4" t="n">
        <v>0</v>
      </c>
      <c r="O79" s="54" t="n">
        <v>0</v>
      </c>
      <c r="P79" s="54" t="n">
        <v>0</v>
      </c>
      <c r="Q79" s="54" t="n">
        <v>0</v>
      </c>
      <c r="R79" s="54" t="n">
        <v>0</v>
      </c>
      <c r="S79" s="54" t="n">
        <v>0</v>
      </c>
      <c r="T79" s="54" t="n">
        <v>0</v>
      </c>
      <c r="U79" s="54" t="n">
        <v>0</v>
      </c>
      <c r="V79" s="54" t="n">
        <v>0</v>
      </c>
      <c r="W79" s="54" t="n">
        <v>0</v>
      </c>
      <c r="X79" s="54" t="n">
        <v>0</v>
      </c>
      <c r="Y79" s="54" t="n">
        <v>0</v>
      </c>
      <c r="Z79" s="54" t="n">
        <v>0</v>
      </c>
      <c r="AA79" s="54" t="n">
        <v>0</v>
      </c>
      <c r="AB79" s="54" t="n">
        <v>0</v>
      </c>
      <c r="AC79" s="54" t="n">
        <v>0</v>
      </c>
      <c r="AD79" s="54" t="n">
        <v>0</v>
      </c>
      <c r="AE79" s="54" t="n">
        <v>0</v>
      </c>
      <c r="AF79" s="54" t="n">
        <v>0</v>
      </c>
      <c r="AG79" s="54" t="n">
        <v>0</v>
      </c>
      <c r="AH79" s="54" t="n">
        <v>0</v>
      </c>
      <c r="AI79" s="54" t="n"/>
      <c r="AJ79" s="54" t="n"/>
      <c r="AK79" s="54" t="n"/>
      <c r="AL79" s="54" t="n"/>
      <c r="AM79" s="54" t="n"/>
      <c r="AN79" s="54" t="n"/>
    </row>
    <row r="80" hidden="1" outlineLevel="1">
      <c r="A80" s="60" t="inlineStr">
        <is>
          <t>Ballenas_tgi</t>
        </is>
      </c>
      <c r="B80" s="60" t="n">
        <v>0</v>
      </c>
      <c r="C80" s="60" t="n">
        <v>0</v>
      </c>
      <c r="D80" s="60" t="n">
        <v>0</v>
      </c>
      <c r="E80" s="60" t="n">
        <v>0</v>
      </c>
      <c r="F80" s="60" t="n">
        <v>0</v>
      </c>
      <c r="G80" s="60" t="n">
        <v>0</v>
      </c>
      <c r="H80" s="60" t="n">
        <v>0</v>
      </c>
      <c r="I80" s="60" t="n">
        <v>0</v>
      </c>
      <c r="J80" s="60" t="n">
        <v>0</v>
      </c>
      <c r="K80" s="60" t="n">
        <v>0</v>
      </c>
      <c r="L80" s="60" t="n">
        <v>0</v>
      </c>
      <c r="M80" s="60" t="n">
        <v>0</v>
      </c>
      <c r="N80" s="60" t="n">
        <v>0</v>
      </c>
      <c r="O80" s="60" t="n">
        <v>0</v>
      </c>
      <c r="P80" s="60" t="n">
        <v>0</v>
      </c>
      <c r="Q80" s="60" t="n">
        <v>0</v>
      </c>
      <c r="R80" s="60" t="n">
        <v>0</v>
      </c>
      <c r="S80" s="60" t="n">
        <v>0</v>
      </c>
      <c r="T80" s="60" t="n">
        <v>0</v>
      </c>
      <c r="U80" s="60" t="n">
        <v>0</v>
      </c>
      <c r="V80" s="60" t="n">
        <v>0</v>
      </c>
      <c r="W80" s="60" t="n">
        <v>0</v>
      </c>
      <c r="X80" s="60" t="n">
        <v>0</v>
      </c>
      <c r="Y80" s="60" t="n">
        <v>0</v>
      </c>
      <c r="Z80" s="60" t="n">
        <v>0</v>
      </c>
      <c r="AA80" s="60" t="n">
        <v>0</v>
      </c>
      <c r="AB80" s="60" t="n">
        <v>0</v>
      </c>
      <c r="AC80" s="60" t="n">
        <v>0</v>
      </c>
      <c r="AD80" s="60" t="n">
        <v>0</v>
      </c>
      <c r="AE80" s="60" t="n">
        <v>0</v>
      </c>
      <c r="AF80" s="60" t="n">
        <v>0</v>
      </c>
      <c r="AG80" s="60" t="n">
        <v>0</v>
      </c>
      <c r="AH80" s="60" t="n">
        <v>0</v>
      </c>
      <c r="AI80" s="60" t="n"/>
      <c r="AJ80" s="60" t="n"/>
      <c r="AK80" s="54" t="n"/>
      <c r="AL80" s="54" t="n"/>
      <c r="AM80" s="54" t="n"/>
      <c r="AN80" s="54" t="n"/>
    </row>
    <row r="81" hidden="1" outlineLevel="1">
      <c r="A81" s="54" t="inlineStr">
        <is>
          <t>Barbosa</t>
        </is>
      </c>
      <c r="B81" s="54" t="n">
        <v>0</v>
      </c>
      <c r="C81" s="54" t="n">
        <v>1</v>
      </c>
      <c r="D81" s="54" t="n">
        <v>1</v>
      </c>
      <c r="E81" s="54" t="n">
        <v>1</v>
      </c>
      <c r="F81" s="54" t="n">
        <v>1</v>
      </c>
      <c r="G81" s="54" t="n">
        <v>1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4" t="n">
        <v>0</v>
      </c>
      <c r="O81" s="54" t="n">
        <v>0</v>
      </c>
      <c r="P81" s="54" t="n">
        <v>0</v>
      </c>
      <c r="Q81" s="54" t="n">
        <v>0</v>
      </c>
      <c r="R81" s="54" t="n">
        <v>0</v>
      </c>
      <c r="S81" s="54" t="n">
        <v>0</v>
      </c>
      <c r="T81" s="54" t="n">
        <v>0</v>
      </c>
      <c r="U81" s="54" t="n">
        <v>0</v>
      </c>
      <c r="V81" s="54" t="n">
        <v>0</v>
      </c>
      <c r="W81" s="54" t="n">
        <v>0</v>
      </c>
      <c r="X81" s="54" t="n">
        <v>0</v>
      </c>
      <c r="Y81" s="54" t="n">
        <v>0</v>
      </c>
      <c r="Z81" s="54" t="n">
        <v>0</v>
      </c>
      <c r="AA81" s="54" t="n">
        <v>0</v>
      </c>
      <c r="AB81" s="54" t="n">
        <v>0</v>
      </c>
      <c r="AC81" s="54" t="n">
        <v>0</v>
      </c>
      <c r="AD81" s="54" t="n">
        <v>0</v>
      </c>
      <c r="AE81" s="54" t="n">
        <v>0</v>
      </c>
      <c r="AF81" s="54" t="n">
        <v>0</v>
      </c>
      <c r="AG81" s="54" t="n">
        <v>0</v>
      </c>
      <c r="AH81" s="54" t="n">
        <v>0</v>
      </c>
      <c r="AI81" s="54" t="n"/>
      <c r="AJ81" s="54" t="n"/>
      <c r="AK81" s="54" t="n"/>
      <c r="AL81" s="54" t="n"/>
      <c r="AM81" s="54" t="n"/>
      <c r="AN81" s="54" t="n"/>
    </row>
    <row r="82" hidden="1" outlineLevel="1">
      <c r="A82" s="54" t="inlineStr">
        <is>
          <t>Barranca</t>
        </is>
      </c>
      <c r="B82" s="54" t="n">
        <v>0</v>
      </c>
      <c r="C82" s="54" t="n">
        <v>1</v>
      </c>
      <c r="D82" s="54" t="n">
        <v>0</v>
      </c>
      <c r="E82" s="54" t="n">
        <v>0</v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4" t="n">
        <v>0</v>
      </c>
      <c r="O82" s="54" t="n">
        <v>0</v>
      </c>
      <c r="P82" s="54" t="n">
        <v>0</v>
      </c>
      <c r="Q82" s="54" t="n">
        <v>0</v>
      </c>
      <c r="R82" s="54" t="n">
        <v>0</v>
      </c>
      <c r="S82" s="54" t="n">
        <v>0</v>
      </c>
      <c r="T82" s="54" t="n">
        <v>0</v>
      </c>
      <c r="U82" s="54" t="n">
        <v>0</v>
      </c>
      <c r="V82" s="54" t="n">
        <v>0</v>
      </c>
      <c r="W82" s="54" t="n">
        <v>0</v>
      </c>
      <c r="X82" s="54" t="n">
        <v>0</v>
      </c>
      <c r="Y82" s="54" t="n">
        <v>0</v>
      </c>
      <c r="Z82" s="54" t="n">
        <v>0</v>
      </c>
      <c r="AA82" s="54" t="n">
        <v>0</v>
      </c>
      <c r="AB82" s="54" t="n">
        <v>0</v>
      </c>
      <c r="AC82" s="54" t="n">
        <v>0</v>
      </c>
      <c r="AD82" s="54" t="n">
        <v>0</v>
      </c>
      <c r="AE82" s="54" t="n">
        <v>0</v>
      </c>
      <c r="AF82" s="54" t="n">
        <v>0</v>
      </c>
      <c r="AG82" s="54" t="n">
        <v>0</v>
      </c>
      <c r="AH82" s="54" t="n">
        <v>0</v>
      </c>
      <c r="AI82" s="54" t="n"/>
      <c r="AJ82" s="54" t="n"/>
      <c r="AK82" s="54" t="n"/>
      <c r="AL82" s="54" t="n"/>
      <c r="AM82" s="54" t="n"/>
      <c r="AN82" s="54" t="n"/>
    </row>
    <row r="83" hidden="1" outlineLevel="1">
      <c r="A83" s="54" t="inlineStr">
        <is>
          <t>Barranquilla</t>
        </is>
      </c>
      <c r="B83" s="54" t="n">
        <v>1</v>
      </c>
      <c r="C83" s="54" t="n">
        <v>0</v>
      </c>
      <c r="D83" s="54" t="n">
        <v>0</v>
      </c>
      <c r="E83" s="54" t="n">
        <v>0</v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4" t="n">
        <v>0</v>
      </c>
      <c r="O83" s="54" t="n">
        <v>0</v>
      </c>
      <c r="P83" s="54" t="n">
        <v>0</v>
      </c>
      <c r="Q83" s="54" t="n">
        <v>0</v>
      </c>
      <c r="R83" s="54" t="n">
        <v>0</v>
      </c>
      <c r="S83" s="54" t="n">
        <v>0</v>
      </c>
      <c r="T83" s="54" t="n">
        <v>0</v>
      </c>
      <c r="U83" s="54" t="n">
        <v>0</v>
      </c>
      <c r="V83" s="54" t="n">
        <v>0</v>
      </c>
      <c r="W83" s="54" t="n">
        <v>0</v>
      </c>
      <c r="X83" s="54" t="n">
        <v>0</v>
      </c>
      <c r="Y83" s="54" t="n">
        <v>0</v>
      </c>
      <c r="Z83" s="54" t="n">
        <v>0</v>
      </c>
      <c r="AA83" s="54" t="n">
        <v>0</v>
      </c>
      <c r="AB83" s="54" t="n">
        <v>1</v>
      </c>
      <c r="AC83" s="54" t="n">
        <v>1</v>
      </c>
      <c r="AD83" s="54" t="n">
        <v>0</v>
      </c>
      <c r="AE83" s="54" t="n">
        <v>0</v>
      </c>
      <c r="AF83" s="54" t="n">
        <v>0</v>
      </c>
      <c r="AG83" s="54" t="n">
        <v>0</v>
      </c>
      <c r="AH83" s="54" t="n">
        <v>0</v>
      </c>
      <c r="AI83" s="54" t="n"/>
      <c r="AJ83" s="54" t="n"/>
      <c r="AK83" s="54" t="n"/>
      <c r="AL83" s="54" t="n"/>
      <c r="AM83" s="54" t="n"/>
      <c r="AN83" s="54" t="n"/>
    </row>
    <row r="84" hidden="1" outlineLevel="1">
      <c r="A84" s="54" t="inlineStr">
        <is>
          <t>Bello</t>
        </is>
      </c>
      <c r="B84" s="54" t="n">
        <v>0</v>
      </c>
      <c r="C84" s="54" t="n">
        <v>1</v>
      </c>
      <c r="D84" s="54" t="n">
        <v>1</v>
      </c>
      <c r="E84" s="54" t="n">
        <v>1</v>
      </c>
      <c r="F84" s="54" t="n">
        <v>1</v>
      </c>
      <c r="G84" s="54" t="n">
        <v>1</v>
      </c>
      <c r="H84" s="54" t="n">
        <v>1</v>
      </c>
      <c r="I84" s="54" t="n">
        <v>1</v>
      </c>
      <c r="J84" s="54" t="n">
        <v>0</v>
      </c>
      <c r="K84" s="54" t="n">
        <v>0</v>
      </c>
      <c r="L84" s="54" t="n">
        <v>0</v>
      </c>
      <c r="M84" s="54" t="n">
        <v>0</v>
      </c>
      <c r="N84" s="54" t="n">
        <v>0</v>
      </c>
      <c r="O84" s="54" t="n">
        <v>0</v>
      </c>
      <c r="P84" s="54" t="n">
        <v>0</v>
      </c>
      <c r="Q84" s="54" t="n">
        <v>0</v>
      </c>
      <c r="R84" s="54" t="n">
        <v>0</v>
      </c>
      <c r="S84" s="54" t="n">
        <v>0</v>
      </c>
      <c r="T84" s="54" t="n">
        <v>0</v>
      </c>
      <c r="U84" s="54" t="n">
        <v>0</v>
      </c>
      <c r="V84" s="54" t="n">
        <v>0</v>
      </c>
      <c r="W84" s="54" t="n">
        <v>0</v>
      </c>
      <c r="X84" s="54" t="n">
        <v>0</v>
      </c>
      <c r="Y84" s="54" t="n">
        <v>0</v>
      </c>
      <c r="Z84" s="54" t="n">
        <v>0</v>
      </c>
      <c r="AA84" s="54" t="n">
        <v>0</v>
      </c>
      <c r="AB84" s="54" t="n">
        <v>0</v>
      </c>
      <c r="AC84" s="54" t="n">
        <v>0</v>
      </c>
      <c r="AD84" s="54" t="n">
        <v>0</v>
      </c>
      <c r="AE84" s="54" t="n">
        <v>0</v>
      </c>
      <c r="AF84" s="54" t="n">
        <v>0</v>
      </c>
      <c r="AG84" s="54" t="n">
        <v>0</v>
      </c>
      <c r="AH84" s="54" t="n">
        <v>0</v>
      </c>
      <c r="AI84" s="54" t="n"/>
      <c r="AJ84" s="54" t="n"/>
      <c r="AK84" s="54" t="n"/>
      <c r="AL84" s="54" t="n"/>
      <c r="AM84" s="54" t="n"/>
      <c r="AN84" s="54" t="n"/>
    </row>
    <row r="85" hidden="1" outlineLevel="1">
      <c r="A85" s="54" t="inlineStr">
        <is>
          <t>Cali</t>
        </is>
      </c>
      <c r="B85" s="54" t="n">
        <v>0</v>
      </c>
      <c r="C85" s="54" t="n">
        <v>1</v>
      </c>
      <c r="D85" s="54" t="n">
        <v>1</v>
      </c>
      <c r="E85" s="54" t="n">
        <v>0</v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1</v>
      </c>
      <c r="L85" s="54" t="n">
        <v>1</v>
      </c>
      <c r="M85" s="54" t="n">
        <v>0</v>
      </c>
      <c r="N85" s="54" t="n">
        <v>0</v>
      </c>
      <c r="O85" s="54" t="n">
        <v>0</v>
      </c>
      <c r="P85" s="54" t="n">
        <v>1</v>
      </c>
      <c r="Q85" s="54" t="n">
        <v>1</v>
      </c>
      <c r="R85" s="54" t="n">
        <v>1</v>
      </c>
      <c r="S85" s="54" t="n">
        <v>0</v>
      </c>
      <c r="T85" s="54" t="n">
        <v>0</v>
      </c>
      <c r="U85" s="54" t="n">
        <v>0</v>
      </c>
      <c r="V85" s="54" t="n">
        <v>0</v>
      </c>
      <c r="W85" s="54" t="n">
        <v>0</v>
      </c>
      <c r="X85" s="54" t="n">
        <v>0</v>
      </c>
      <c r="Y85" s="54" t="n">
        <v>0</v>
      </c>
      <c r="Z85" s="54" t="n">
        <v>0</v>
      </c>
      <c r="AA85" s="54" t="n">
        <v>0</v>
      </c>
      <c r="AB85" s="54" t="n">
        <v>0</v>
      </c>
      <c r="AC85" s="54" t="n">
        <v>0</v>
      </c>
      <c r="AD85" s="54" t="n">
        <v>0</v>
      </c>
      <c r="AE85" s="54" t="n">
        <v>0</v>
      </c>
      <c r="AF85" s="54" t="n">
        <v>0</v>
      </c>
      <c r="AG85" s="54" t="n">
        <v>0</v>
      </c>
      <c r="AH85" s="54" t="n">
        <v>0</v>
      </c>
      <c r="AI85" s="54" t="n"/>
      <c r="AJ85" s="54" t="n"/>
      <c r="AK85" s="54" t="n"/>
      <c r="AL85" s="54" t="n"/>
      <c r="AM85" s="54" t="n"/>
      <c r="AN85" s="54" t="n"/>
    </row>
    <row r="86" hidden="1" outlineLevel="1">
      <c r="A86" s="54" t="inlineStr">
        <is>
          <t>Cartagena</t>
        </is>
      </c>
      <c r="B86" s="54" t="n">
        <v>1</v>
      </c>
      <c r="C86" s="54" t="n">
        <v>0</v>
      </c>
      <c r="D86" s="54" t="n">
        <v>0</v>
      </c>
      <c r="E86" s="54" t="n">
        <v>0</v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4" t="n">
        <v>0</v>
      </c>
      <c r="O86" s="54" t="n">
        <v>0</v>
      </c>
      <c r="P86" s="54" t="n">
        <v>0</v>
      </c>
      <c r="Q86" s="54" t="n">
        <v>0</v>
      </c>
      <c r="R86" s="54" t="n">
        <v>0</v>
      </c>
      <c r="S86" s="54" t="n">
        <v>0</v>
      </c>
      <c r="T86" s="54" t="n">
        <v>0</v>
      </c>
      <c r="U86" s="54" t="n">
        <v>0</v>
      </c>
      <c r="V86" s="54" t="n">
        <v>0</v>
      </c>
      <c r="W86" s="54" t="n">
        <v>0</v>
      </c>
      <c r="X86" s="54" t="n">
        <v>0</v>
      </c>
      <c r="Y86" s="54" t="n">
        <v>0</v>
      </c>
      <c r="Z86" s="54" t="n">
        <v>0</v>
      </c>
      <c r="AA86" s="54" t="n">
        <v>0</v>
      </c>
      <c r="AB86" s="54" t="n">
        <v>1</v>
      </c>
      <c r="AC86" s="54" t="n">
        <v>1</v>
      </c>
      <c r="AD86" s="54" t="n">
        <v>1</v>
      </c>
      <c r="AE86" s="54" t="n">
        <v>0</v>
      </c>
      <c r="AF86" s="54" t="n">
        <v>0</v>
      </c>
      <c r="AG86" s="54" t="n">
        <v>0</v>
      </c>
      <c r="AH86" s="54" t="n">
        <v>0</v>
      </c>
      <c r="AI86" s="54" t="n"/>
      <c r="AJ86" s="54" t="n"/>
      <c r="AK86" s="54" t="n"/>
      <c r="AL86" s="54" t="n"/>
      <c r="AM86" s="54" t="n"/>
      <c r="AN86" s="54" t="n"/>
    </row>
    <row r="87" hidden="1" outlineLevel="1">
      <c r="A87" s="54" t="inlineStr">
        <is>
          <t>Cogua</t>
        </is>
      </c>
      <c r="B87" s="54" t="n">
        <v>0</v>
      </c>
      <c r="C87" s="54" t="n">
        <v>1</v>
      </c>
      <c r="D87" s="54" t="n">
        <v>1</v>
      </c>
      <c r="E87" s="54" t="n">
        <v>0</v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1</v>
      </c>
      <c r="L87" s="54" t="n">
        <v>0</v>
      </c>
      <c r="M87" s="54" t="n">
        <v>0</v>
      </c>
      <c r="N87" s="54" t="n">
        <v>0</v>
      </c>
      <c r="O87" s="54" t="n">
        <v>0</v>
      </c>
      <c r="P87" s="54" t="n">
        <v>0</v>
      </c>
      <c r="Q87" s="54" t="n">
        <v>0</v>
      </c>
      <c r="R87" s="54" t="n">
        <v>0</v>
      </c>
      <c r="S87" s="54" t="n">
        <v>0</v>
      </c>
      <c r="T87" s="54" t="n">
        <v>1</v>
      </c>
      <c r="U87" s="54" t="n">
        <v>1</v>
      </c>
      <c r="V87" s="54" t="n">
        <v>0</v>
      </c>
      <c r="W87" s="54" t="n">
        <v>0</v>
      </c>
      <c r="X87" s="54" t="n">
        <v>0</v>
      </c>
      <c r="Y87" s="54" t="n">
        <v>0</v>
      </c>
      <c r="Z87" s="54" t="n">
        <v>0</v>
      </c>
      <c r="AA87" s="54" t="n">
        <v>0</v>
      </c>
      <c r="AB87" s="54" t="n">
        <v>0</v>
      </c>
      <c r="AC87" s="54" t="n">
        <v>0</v>
      </c>
      <c r="AD87" s="54" t="n">
        <v>0</v>
      </c>
      <c r="AE87" s="54" t="n">
        <v>0</v>
      </c>
      <c r="AF87" s="54" t="n">
        <v>0</v>
      </c>
      <c r="AG87" s="54" t="n">
        <v>0</v>
      </c>
      <c r="AH87" s="54" t="n">
        <v>0</v>
      </c>
      <c r="AI87" s="54" t="n"/>
      <c r="AJ87" s="54" t="n"/>
      <c r="AK87" s="54" t="n"/>
      <c r="AL87" s="54" t="n"/>
      <c r="AM87" s="54" t="n"/>
      <c r="AN87" s="54" t="n"/>
    </row>
    <row r="88" hidden="1" outlineLevel="1">
      <c r="A88" s="54" t="inlineStr">
        <is>
          <t>Cusiana</t>
        </is>
      </c>
      <c r="B88" s="54" t="n">
        <v>0</v>
      </c>
      <c r="C88" s="54" t="n">
        <v>1</v>
      </c>
      <c r="D88" s="54" t="n">
        <v>1</v>
      </c>
      <c r="E88" s="54" t="n">
        <v>0</v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1</v>
      </c>
      <c r="L88" s="54" t="n">
        <v>0</v>
      </c>
      <c r="M88" s="54" t="n">
        <v>0</v>
      </c>
      <c r="N88" s="54" t="n">
        <v>0</v>
      </c>
      <c r="O88" s="54" t="n">
        <v>0</v>
      </c>
      <c r="P88" s="54" t="n">
        <v>0</v>
      </c>
      <c r="Q88" s="54" t="n">
        <v>0</v>
      </c>
      <c r="R88" s="54" t="n">
        <v>0</v>
      </c>
      <c r="S88" s="54" t="n">
        <v>0</v>
      </c>
      <c r="T88" s="54" t="n">
        <v>1</v>
      </c>
      <c r="U88" s="54" t="n">
        <v>0</v>
      </c>
      <c r="V88" s="54" t="n">
        <v>0</v>
      </c>
      <c r="W88" s="54" t="n">
        <v>1</v>
      </c>
      <c r="X88" s="54" t="n">
        <v>1</v>
      </c>
      <c r="Y88" s="54" t="n">
        <v>0</v>
      </c>
      <c r="Z88" s="54" t="n">
        <v>0</v>
      </c>
      <c r="AA88" s="54" t="n">
        <v>0</v>
      </c>
      <c r="AB88" s="54" t="n">
        <v>0</v>
      </c>
      <c r="AC88" s="54" t="n">
        <v>0</v>
      </c>
      <c r="AD88" s="54" t="n">
        <v>0</v>
      </c>
      <c r="AE88" s="54" t="n">
        <v>0</v>
      </c>
      <c r="AF88" s="54" t="n">
        <v>0</v>
      </c>
      <c r="AG88" s="54" t="n">
        <v>0</v>
      </c>
      <c r="AH88" s="54" t="n">
        <v>0</v>
      </c>
      <c r="AI88" s="54" t="n"/>
      <c r="AJ88" s="54" t="n"/>
      <c r="AK88" s="54" t="n"/>
      <c r="AL88" s="54" t="n"/>
      <c r="AM88" s="54" t="n"/>
      <c r="AN88" s="54" t="n"/>
    </row>
    <row r="89" hidden="1" outlineLevel="1">
      <c r="A89" s="54" t="inlineStr">
        <is>
          <t>Donmatias</t>
        </is>
      </c>
      <c r="B89" s="54" t="n">
        <v>0</v>
      </c>
      <c r="C89" s="54" t="n">
        <v>1</v>
      </c>
      <c r="D89" s="54" t="n">
        <v>1</v>
      </c>
      <c r="E89" s="54" t="n">
        <v>1</v>
      </c>
      <c r="F89" s="54" t="n">
        <v>1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4" t="n">
        <v>0</v>
      </c>
      <c r="O89" s="54" t="n">
        <v>0</v>
      </c>
      <c r="P89" s="54" t="n">
        <v>0</v>
      </c>
      <c r="Q89" s="54" t="n">
        <v>0</v>
      </c>
      <c r="R89" s="54" t="n">
        <v>0</v>
      </c>
      <c r="S89" s="54" t="n">
        <v>0</v>
      </c>
      <c r="T89" s="54" t="n">
        <v>0</v>
      </c>
      <c r="U89" s="54" t="n">
        <v>0</v>
      </c>
      <c r="V89" s="54" t="n">
        <v>0</v>
      </c>
      <c r="W89" s="54" t="n">
        <v>0</v>
      </c>
      <c r="X89" s="54" t="n">
        <v>0</v>
      </c>
      <c r="Y89" s="54" t="n">
        <v>0</v>
      </c>
      <c r="Z89" s="54" t="n">
        <v>0</v>
      </c>
      <c r="AA89" s="54" t="n">
        <v>0</v>
      </c>
      <c r="AB89" s="54" t="n">
        <v>0</v>
      </c>
      <c r="AC89" s="54" t="n">
        <v>0</v>
      </c>
      <c r="AD89" s="54" t="n">
        <v>0</v>
      </c>
      <c r="AE89" s="54" t="n">
        <v>0</v>
      </c>
      <c r="AF89" s="54" t="n">
        <v>0</v>
      </c>
      <c r="AG89" s="54" t="n">
        <v>0</v>
      </c>
      <c r="AH89" s="54" t="n">
        <v>0</v>
      </c>
      <c r="AI89" s="54" t="n"/>
      <c r="AJ89" s="54" t="n"/>
      <c r="AK89" s="54" t="n"/>
      <c r="AL89" s="54" t="n"/>
      <c r="AM89" s="54" t="n"/>
      <c r="AN89" s="54" t="n"/>
    </row>
    <row r="90" hidden="1" outlineLevel="1">
      <c r="A90" s="54" t="inlineStr">
        <is>
          <t>Girardota</t>
        </is>
      </c>
      <c r="B90" s="54" t="n">
        <v>0</v>
      </c>
      <c r="C90" s="54" t="n">
        <v>1</v>
      </c>
      <c r="D90" s="54" t="n">
        <v>1</v>
      </c>
      <c r="E90" s="54" t="n">
        <v>1</v>
      </c>
      <c r="F90" s="54" t="n">
        <v>1</v>
      </c>
      <c r="G90" s="54" t="n">
        <v>1</v>
      </c>
      <c r="H90" s="54" t="n">
        <v>1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4" t="n">
        <v>0</v>
      </c>
      <c r="O90" s="54" t="n">
        <v>0</v>
      </c>
      <c r="P90" s="54" t="n">
        <v>0</v>
      </c>
      <c r="Q90" s="54" t="n">
        <v>0</v>
      </c>
      <c r="R90" s="54" t="n">
        <v>0</v>
      </c>
      <c r="S90" s="54" t="n">
        <v>0</v>
      </c>
      <c r="T90" s="54" t="n">
        <v>0</v>
      </c>
      <c r="U90" s="54" t="n">
        <v>0</v>
      </c>
      <c r="V90" s="54" t="n">
        <v>0</v>
      </c>
      <c r="W90" s="54" t="n">
        <v>0</v>
      </c>
      <c r="X90" s="54" t="n">
        <v>0</v>
      </c>
      <c r="Y90" s="54" t="n">
        <v>0</v>
      </c>
      <c r="Z90" s="54" t="n">
        <v>0</v>
      </c>
      <c r="AA90" s="54" t="n">
        <v>0</v>
      </c>
      <c r="AB90" s="54" t="n">
        <v>0</v>
      </c>
      <c r="AC90" s="54" t="n">
        <v>0</v>
      </c>
      <c r="AD90" s="54" t="n">
        <v>0</v>
      </c>
      <c r="AE90" s="54" t="n">
        <v>0</v>
      </c>
      <c r="AF90" s="54" t="n">
        <v>0</v>
      </c>
      <c r="AG90" s="54" t="n">
        <v>0</v>
      </c>
      <c r="AH90" s="54" t="n">
        <v>0</v>
      </c>
      <c r="AI90" s="54" t="n"/>
      <c r="AJ90" s="54" t="n"/>
      <c r="AK90" s="54" t="n"/>
      <c r="AL90" s="54" t="n"/>
      <c r="AM90" s="54" t="n"/>
      <c r="AN90" s="54" t="n"/>
    </row>
    <row r="91" hidden="1" outlineLevel="1">
      <c r="A91" s="54" t="inlineStr">
        <is>
          <t>Gualanday</t>
        </is>
      </c>
      <c r="B91" s="54" t="n">
        <v>0</v>
      </c>
      <c r="C91" s="54" t="n">
        <v>1</v>
      </c>
      <c r="D91" s="54" t="n">
        <v>1</v>
      </c>
      <c r="E91" s="54" t="n">
        <v>0</v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1</v>
      </c>
      <c r="L91" s="54" t="n">
        <v>1</v>
      </c>
      <c r="M91" s="54" t="n">
        <v>1</v>
      </c>
      <c r="N91" s="54" t="n">
        <v>0</v>
      </c>
      <c r="O91" s="54" t="n">
        <v>0</v>
      </c>
      <c r="P91" s="54" t="n">
        <v>0</v>
      </c>
      <c r="Q91" s="54" t="n">
        <v>0</v>
      </c>
      <c r="R91" s="54" t="n">
        <v>0</v>
      </c>
      <c r="S91" s="54" t="n">
        <v>0</v>
      </c>
      <c r="T91" s="54" t="n">
        <v>0</v>
      </c>
      <c r="U91" s="54" t="n">
        <v>0</v>
      </c>
      <c r="V91" s="54" t="n">
        <v>0</v>
      </c>
      <c r="W91" s="54" t="n">
        <v>0</v>
      </c>
      <c r="X91" s="54" t="n">
        <v>0</v>
      </c>
      <c r="Y91" s="54" t="n">
        <v>0</v>
      </c>
      <c r="Z91" s="54" t="n">
        <v>0</v>
      </c>
      <c r="AA91" s="54" t="n">
        <v>0</v>
      </c>
      <c r="AB91" s="54" t="n">
        <v>0</v>
      </c>
      <c r="AC91" s="54" t="n">
        <v>0</v>
      </c>
      <c r="AD91" s="54" t="n">
        <v>0</v>
      </c>
      <c r="AE91" s="54" t="n">
        <v>0</v>
      </c>
      <c r="AF91" s="54" t="n">
        <v>0</v>
      </c>
      <c r="AG91" s="54" t="n">
        <v>0</v>
      </c>
      <c r="AH91" s="54" t="n">
        <v>0</v>
      </c>
      <c r="AI91" s="54" t="n"/>
      <c r="AJ91" s="54" t="n"/>
      <c r="AK91" s="54" t="n"/>
      <c r="AL91" s="54" t="n"/>
      <c r="AM91" s="54" t="n"/>
      <c r="AN91" s="54" t="n"/>
    </row>
    <row r="92" hidden="1" outlineLevel="1">
      <c r="A92" s="54" t="inlineStr">
        <is>
          <t>Jobo</t>
        </is>
      </c>
      <c r="B92" s="54" t="n">
        <v>1</v>
      </c>
      <c r="C92" s="54" t="n">
        <v>0</v>
      </c>
      <c r="D92" s="54" t="n">
        <v>0</v>
      </c>
      <c r="E92" s="54" t="n">
        <v>0</v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4" t="n">
        <v>0</v>
      </c>
      <c r="O92" s="54" t="n">
        <v>0</v>
      </c>
      <c r="P92" s="54" t="n">
        <v>0</v>
      </c>
      <c r="Q92" s="54" t="n">
        <v>0</v>
      </c>
      <c r="R92" s="54" t="n">
        <v>0</v>
      </c>
      <c r="S92" s="54" t="n">
        <v>0</v>
      </c>
      <c r="T92" s="54" t="n">
        <v>0</v>
      </c>
      <c r="U92" s="54" t="n">
        <v>0</v>
      </c>
      <c r="V92" s="54" t="n">
        <v>0</v>
      </c>
      <c r="W92" s="54" t="n">
        <v>0</v>
      </c>
      <c r="X92" s="54" t="n">
        <v>0</v>
      </c>
      <c r="Y92" s="54" t="n">
        <v>0</v>
      </c>
      <c r="Z92" s="54" t="n">
        <v>0</v>
      </c>
      <c r="AA92" s="54" t="n">
        <v>0</v>
      </c>
      <c r="AB92" s="54" t="n">
        <v>1</v>
      </c>
      <c r="AC92" s="54" t="n">
        <v>1</v>
      </c>
      <c r="AD92" s="54" t="n">
        <v>1</v>
      </c>
      <c r="AE92" s="54" t="n">
        <v>1</v>
      </c>
      <c r="AF92" s="54" t="n">
        <v>0</v>
      </c>
      <c r="AG92" s="54" t="n">
        <v>0</v>
      </c>
      <c r="AH92" s="54" t="n">
        <v>1</v>
      </c>
      <c r="AI92" s="54" t="n"/>
      <c r="AJ92" s="54" t="n"/>
      <c r="AK92" s="54" t="n"/>
      <c r="AL92" s="54" t="n"/>
      <c r="AM92" s="54" t="n"/>
      <c r="AN92" s="54" t="n"/>
    </row>
    <row r="93" hidden="1" outlineLevel="1">
      <c r="A93" s="54" t="inlineStr">
        <is>
          <t>La Belleza</t>
        </is>
      </c>
      <c r="B93" s="54" t="n">
        <v>0</v>
      </c>
      <c r="C93" s="54" t="n">
        <v>1</v>
      </c>
      <c r="D93" s="54" t="n">
        <v>1</v>
      </c>
      <c r="E93" s="54" t="n">
        <v>0</v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1</v>
      </c>
      <c r="L93" s="54" t="n">
        <v>0</v>
      </c>
      <c r="M93" s="54" t="n">
        <v>0</v>
      </c>
      <c r="N93" s="54" t="n">
        <v>0</v>
      </c>
      <c r="O93" s="54" t="n">
        <v>0</v>
      </c>
      <c r="P93" s="54" t="n">
        <v>0</v>
      </c>
      <c r="Q93" s="54" t="n">
        <v>0</v>
      </c>
      <c r="R93" s="54" t="n">
        <v>0</v>
      </c>
      <c r="S93" s="54" t="n">
        <v>0</v>
      </c>
      <c r="T93" s="54" t="n">
        <v>1</v>
      </c>
      <c r="U93" s="54" t="n">
        <v>0</v>
      </c>
      <c r="V93" s="54" t="n">
        <v>0</v>
      </c>
      <c r="W93" s="54" t="n">
        <v>0</v>
      </c>
      <c r="X93" s="54" t="n">
        <v>0</v>
      </c>
      <c r="Y93" s="54" t="n">
        <v>0</v>
      </c>
      <c r="Z93" s="54" t="n">
        <v>0</v>
      </c>
      <c r="AA93" s="54" t="n">
        <v>0</v>
      </c>
      <c r="AB93" s="54" t="n">
        <v>0</v>
      </c>
      <c r="AC93" s="54" t="n">
        <v>0</v>
      </c>
      <c r="AD93" s="54" t="n">
        <v>0</v>
      </c>
      <c r="AE93" s="54" t="n">
        <v>0</v>
      </c>
      <c r="AF93" s="54" t="n">
        <v>0</v>
      </c>
      <c r="AG93" s="54" t="n">
        <v>0</v>
      </c>
      <c r="AH93" s="54" t="n">
        <v>0</v>
      </c>
      <c r="AI93" s="54" t="n"/>
      <c r="AJ93" s="54" t="n"/>
      <c r="AK93" s="54" t="n"/>
      <c r="AL93" s="54" t="n"/>
      <c r="AM93" s="54" t="n"/>
      <c r="AN93" s="54" t="n"/>
    </row>
    <row r="94" hidden="1" outlineLevel="1">
      <c r="A94" s="54" t="inlineStr">
        <is>
          <t>La Creciente</t>
        </is>
      </c>
      <c r="B94" s="54" t="n">
        <v>1</v>
      </c>
      <c r="C94" s="54" t="n">
        <v>0</v>
      </c>
      <c r="D94" s="54" t="n">
        <v>0</v>
      </c>
      <c r="E94" s="54" t="n">
        <v>0</v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4" t="n">
        <v>0</v>
      </c>
      <c r="O94" s="54" t="n">
        <v>0</v>
      </c>
      <c r="P94" s="54" t="n">
        <v>0</v>
      </c>
      <c r="Q94" s="54" t="n">
        <v>0</v>
      </c>
      <c r="R94" s="54" t="n">
        <v>0</v>
      </c>
      <c r="S94" s="54" t="n">
        <v>0</v>
      </c>
      <c r="T94" s="54" t="n">
        <v>0</v>
      </c>
      <c r="U94" s="54" t="n">
        <v>0</v>
      </c>
      <c r="V94" s="54" t="n">
        <v>0</v>
      </c>
      <c r="W94" s="54" t="n">
        <v>0</v>
      </c>
      <c r="X94" s="54" t="n">
        <v>0</v>
      </c>
      <c r="Y94" s="54" t="n">
        <v>0</v>
      </c>
      <c r="Z94" s="54" t="n">
        <v>0</v>
      </c>
      <c r="AA94" s="54" t="n">
        <v>0</v>
      </c>
      <c r="AB94" s="54" t="n">
        <v>1</v>
      </c>
      <c r="AC94" s="54" t="n">
        <v>1</v>
      </c>
      <c r="AD94" s="54" t="n">
        <v>1</v>
      </c>
      <c r="AE94" s="54" t="n">
        <v>1</v>
      </c>
      <c r="AF94" s="54" t="n">
        <v>0</v>
      </c>
      <c r="AG94" s="54" t="n">
        <v>1</v>
      </c>
      <c r="AH94" s="54" t="n">
        <v>0</v>
      </c>
      <c r="AI94" s="54" t="n"/>
      <c r="AJ94" s="54" t="n"/>
      <c r="AK94" s="54" t="n"/>
      <c r="AL94" s="54" t="n"/>
      <c r="AM94" s="54" t="n"/>
      <c r="AN94" s="54" t="n"/>
    </row>
    <row r="95" hidden="1" outlineLevel="1">
      <c r="A95" s="54" t="inlineStr">
        <is>
          <t>La Mami</t>
        </is>
      </c>
      <c r="B95" s="54" t="n">
        <v>1</v>
      </c>
      <c r="C95" s="54" t="n">
        <v>0</v>
      </c>
      <c r="D95" s="54" t="n">
        <v>0</v>
      </c>
      <c r="E95" s="54" t="n">
        <v>0</v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4" t="n">
        <v>0</v>
      </c>
      <c r="O95" s="54" t="n">
        <v>0</v>
      </c>
      <c r="P95" s="54" t="n">
        <v>0</v>
      </c>
      <c r="Q95" s="54" t="n">
        <v>0</v>
      </c>
      <c r="R95" s="54" t="n">
        <v>0</v>
      </c>
      <c r="S95" s="54" t="n">
        <v>0</v>
      </c>
      <c r="T95" s="54" t="n">
        <v>0</v>
      </c>
      <c r="U95" s="54" t="n">
        <v>0</v>
      </c>
      <c r="V95" s="54" t="n">
        <v>0</v>
      </c>
      <c r="W95" s="54" t="n">
        <v>0</v>
      </c>
      <c r="X95" s="54" t="n">
        <v>0</v>
      </c>
      <c r="Y95" s="54" t="n">
        <v>0</v>
      </c>
      <c r="Z95" s="54" t="n">
        <v>0</v>
      </c>
      <c r="AA95" s="54" t="n">
        <v>0</v>
      </c>
      <c r="AB95" s="54" t="n">
        <v>1</v>
      </c>
      <c r="AC95" s="54" t="n">
        <v>0</v>
      </c>
      <c r="AD95" s="54" t="n">
        <v>0</v>
      </c>
      <c r="AE95" s="54" t="n">
        <v>0</v>
      </c>
      <c r="AF95" s="54" t="n">
        <v>0</v>
      </c>
      <c r="AG95" s="54" t="n">
        <v>0</v>
      </c>
      <c r="AH95" s="54" t="n">
        <v>0</v>
      </c>
      <c r="AI95" s="54" t="n"/>
      <c r="AJ95" s="54" t="n"/>
      <c r="AK95" s="54" t="n"/>
      <c r="AL95" s="54" t="n"/>
      <c r="AM95" s="54" t="n"/>
      <c r="AN95" s="54" t="n"/>
    </row>
    <row r="96" hidden="1" outlineLevel="1">
      <c r="A96" s="54" t="inlineStr">
        <is>
          <t>Mariquita</t>
        </is>
      </c>
      <c r="B96" s="54" t="n">
        <v>0</v>
      </c>
      <c r="C96" s="54" t="n">
        <v>1</v>
      </c>
      <c r="D96" s="54" t="n">
        <v>1</v>
      </c>
      <c r="E96" s="54" t="n">
        <v>0</v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1</v>
      </c>
      <c r="L96" s="54" t="n">
        <v>1</v>
      </c>
      <c r="M96" s="54" t="n">
        <v>0</v>
      </c>
      <c r="N96" s="54" t="n">
        <v>0</v>
      </c>
      <c r="O96" s="54" t="n">
        <v>0</v>
      </c>
      <c r="P96" s="54" t="n">
        <v>0</v>
      </c>
      <c r="Q96" s="54" t="n">
        <v>0</v>
      </c>
      <c r="R96" s="54" t="n">
        <v>0</v>
      </c>
      <c r="S96" s="54" t="n">
        <v>0</v>
      </c>
      <c r="T96" s="54" t="n">
        <v>0</v>
      </c>
      <c r="U96" s="54" t="n">
        <v>0</v>
      </c>
      <c r="V96" s="54" t="n">
        <v>0</v>
      </c>
      <c r="W96" s="54" t="n">
        <v>0</v>
      </c>
      <c r="X96" s="54" t="n">
        <v>0</v>
      </c>
      <c r="Y96" s="54" t="n">
        <v>0</v>
      </c>
      <c r="Z96" s="54" t="n">
        <v>0</v>
      </c>
      <c r="AA96" s="54" t="n">
        <v>0</v>
      </c>
      <c r="AB96" s="54" t="n">
        <v>0</v>
      </c>
      <c r="AC96" s="54" t="n">
        <v>0</v>
      </c>
      <c r="AD96" s="54" t="n">
        <v>0</v>
      </c>
      <c r="AE96" s="54" t="n">
        <v>0</v>
      </c>
      <c r="AF96" s="54" t="n">
        <v>0</v>
      </c>
      <c r="AG96" s="54" t="n">
        <v>0</v>
      </c>
      <c r="AH96" s="54" t="n">
        <v>0</v>
      </c>
      <c r="AI96" s="54" t="n"/>
      <c r="AJ96" s="54" t="n"/>
      <c r="AK96" s="54" t="n"/>
      <c r="AL96" s="54" t="n"/>
      <c r="AM96" s="54" t="n"/>
      <c r="AN96" s="54" t="n"/>
    </row>
    <row r="97" hidden="1" outlineLevel="1">
      <c r="A97" s="54" t="inlineStr">
        <is>
          <t>Medellin</t>
        </is>
      </c>
      <c r="B97" s="54" t="n">
        <v>0</v>
      </c>
      <c r="C97" s="54" t="n">
        <v>1</v>
      </c>
      <c r="D97" s="54" t="n">
        <v>1</v>
      </c>
      <c r="E97" s="54" t="n">
        <v>1</v>
      </c>
      <c r="F97" s="54" t="n">
        <v>1</v>
      </c>
      <c r="G97" s="54" t="n">
        <v>1</v>
      </c>
      <c r="H97" s="54" t="n">
        <v>1</v>
      </c>
      <c r="I97" s="54" t="n">
        <v>1</v>
      </c>
      <c r="J97" s="54" t="n">
        <v>1</v>
      </c>
      <c r="K97" s="54" t="n">
        <v>0</v>
      </c>
      <c r="L97" s="54" t="n">
        <v>0</v>
      </c>
      <c r="M97" s="54" t="n">
        <v>0</v>
      </c>
      <c r="N97" s="54" t="n">
        <v>0</v>
      </c>
      <c r="O97" s="54" t="n">
        <v>0</v>
      </c>
      <c r="P97" s="54" t="n">
        <v>0</v>
      </c>
      <c r="Q97" s="54" t="n">
        <v>0</v>
      </c>
      <c r="R97" s="54" t="n">
        <v>0</v>
      </c>
      <c r="S97" s="54" t="n">
        <v>0</v>
      </c>
      <c r="T97" s="54" t="n">
        <v>0</v>
      </c>
      <c r="U97" s="54" t="n">
        <v>0</v>
      </c>
      <c r="V97" s="54" t="n">
        <v>0</v>
      </c>
      <c r="W97" s="54" t="n">
        <v>0</v>
      </c>
      <c r="X97" s="54" t="n">
        <v>0</v>
      </c>
      <c r="Y97" s="54" t="n">
        <v>0</v>
      </c>
      <c r="Z97" s="54" t="n">
        <v>0</v>
      </c>
      <c r="AA97" s="54" t="n">
        <v>0</v>
      </c>
      <c r="AB97" s="54" t="n">
        <v>0</v>
      </c>
      <c r="AC97" s="54" t="n">
        <v>0</v>
      </c>
      <c r="AD97" s="54" t="n">
        <v>0</v>
      </c>
      <c r="AE97" s="54" t="n">
        <v>0</v>
      </c>
      <c r="AF97" s="54" t="n">
        <v>0</v>
      </c>
      <c r="AG97" s="54" t="n">
        <v>0</v>
      </c>
      <c r="AH97" s="54" t="n">
        <v>0</v>
      </c>
      <c r="AI97" s="54" t="n"/>
      <c r="AJ97" s="54" t="n"/>
      <c r="AK97" s="54" t="n"/>
      <c r="AL97" s="54" t="n"/>
      <c r="AM97" s="54" t="n"/>
      <c r="AN97" s="54" t="n"/>
    </row>
    <row r="98" hidden="1" outlineLevel="1">
      <c r="A98" s="54" t="inlineStr">
        <is>
          <t>Montañuelo</t>
        </is>
      </c>
      <c r="B98" s="54" t="n">
        <v>0</v>
      </c>
      <c r="C98" s="54" t="n">
        <v>1</v>
      </c>
      <c r="D98" s="54" t="n">
        <v>1</v>
      </c>
      <c r="E98" s="54" t="n">
        <v>0</v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1</v>
      </c>
      <c r="L98" s="54" t="n">
        <v>1</v>
      </c>
      <c r="M98" s="54" t="n">
        <v>1</v>
      </c>
      <c r="N98" s="54" t="n">
        <v>0</v>
      </c>
      <c r="O98" s="54" t="n">
        <v>1</v>
      </c>
      <c r="P98" s="54" t="n">
        <v>0</v>
      </c>
      <c r="Q98" s="54" t="n">
        <v>0</v>
      </c>
      <c r="R98" s="54" t="n">
        <v>0</v>
      </c>
      <c r="S98" s="54" t="n">
        <v>0</v>
      </c>
      <c r="T98" s="54" t="n">
        <v>0</v>
      </c>
      <c r="U98" s="54" t="n">
        <v>0</v>
      </c>
      <c r="V98" s="54" t="n">
        <v>0</v>
      </c>
      <c r="W98" s="54" t="n">
        <v>0</v>
      </c>
      <c r="X98" s="54" t="n">
        <v>0</v>
      </c>
      <c r="Y98" s="54" t="n">
        <v>0</v>
      </c>
      <c r="Z98" s="54" t="n">
        <v>0</v>
      </c>
      <c r="AA98" s="54" t="n">
        <v>0</v>
      </c>
      <c r="AB98" s="54" t="n">
        <v>0</v>
      </c>
      <c r="AC98" s="54" t="n">
        <v>0</v>
      </c>
      <c r="AD98" s="54" t="n">
        <v>0</v>
      </c>
      <c r="AE98" s="54" t="n">
        <v>0</v>
      </c>
      <c r="AF98" s="54" t="n">
        <v>0</v>
      </c>
      <c r="AG98" s="54" t="n">
        <v>0</v>
      </c>
      <c r="AH98" s="54" t="n">
        <v>0</v>
      </c>
      <c r="AI98" s="54" t="n"/>
      <c r="AJ98" s="54" t="n"/>
      <c r="AK98" s="54" t="n"/>
      <c r="AL98" s="54" t="n"/>
      <c r="AM98" s="54" t="n"/>
      <c r="AN98" s="54" t="n"/>
    </row>
    <row r="99" hidden="1" outlineLevel="1">
      <c r="A99" s="54" t="inlineStr">
        <is>
          <t>Neiva</t>
        </is>
      </c>
      <c r="B99" s="54" t="n">
        <v>0</v>
      </c>
      <c r="C99" s="54" t="n">
        <v>1</v>
      </c>
      <c r="D99" s="54" t="n">
        <v>1</v>
      </c>
      <c r="E99" s="54" t="n">
        <v>0</v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1</v>
      </c>
      <c r="L99" s="54" t="n">
        <v>1</v>
      </c>
      <c r="M99" s="54" t="n">
        <v>1</v>
      </c>
      <c r="N99" s="54" t="n">
        <v>1</v>
      </c>
      <c r="O99" s="54" t="n">
        <v>0</v>
      </c>
      <c r="P99" s="54" t="n">
        <v>0</v>
      </c>
      <c r="Q99" s="54" t="n">
        <v>0</v>
      </c>
      <c r="R99" s="54" t="n">
        <v>0</v>
      </c>
      <c r="S99" s="54" t="n">
        <v>0</v>
      </c>
      <c r="T99" s="54" t="n">
        <v>0</v>
      </c>
      <c r="U99" s="54" t="n">
        <v>0</v>
      </c>
      <c r="V99" s="54" t="n">
        <v>0</v>
      </c>
      <c r="W99" s="54" t="n">
        <v>0</v>
      </c>
      <c r="X99" s="54" t="n">
        <v>0</v>
      </c>
      <c r="Y99" s="54" t="n">
        <v>0</v>
      </c>
      <c r="Z99" s="54" t="n">
        <v>0</v>
      </c>
      <c r="AA99" s="54" t="n">
        <v>0</v>
      </c>
      <c r="AB99" s="54" t="n">
        <v>0</v>
      </c>
      <c r="AC99" s="54" t="n">
        <v>0</v>
      </c>
      <c r="AD99" s="54" t="n">
        <v>0</v>
      </c>
      <c r="AE99" s="54" t="n">
        <v>0</v>
      </c>
      <c r="AF99" s="54" t="n">
        <v>0</v>
      </c>
      <c r="AG99" s="54" t="n">
        <v>0</v>
      </c>
      <c r="AH99" s="54" t="n">
        <v>0</v>
      </c>
      <c r="AI99" s="54" t="n"/>
      <c r="AJ99" s="54" t="n"/>
      <c r="AK99" s="54" t="n"/>
      <c r="AL99" s="54" t="n"/>
      <c r="AM99" s="54" t="n"/>
      <c r="AN99" s="54" t="n"/>
    </row>
    <row r="100" hidden="1" outlineLevel="1">
      <c r="A100" s="54" t="inlineStr">
        <is>
          <t>Pereira</t>
        </is>
      </c>
      <c r="B100" s="54" t="n">
        <v>0</v>
      </c>
      <c r="C100" s="54" t="n">
        <v>1</v>
      </c>
      <c r="D100" s="54" t="n">
        <v>1</v>
      </c>
      <c r="E100" s="54" t="n">
        <v>0</v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1</v>
      </c>
      <c r="L100" s="54" t="n">
        <v>1</v>
      </c>
      <c r="M100" s="54" t="n">
        <v>0</v>
      </c>
      <c r="N100" s="54" t="n">
        <v>0</v>
      </c>
      <c r="O100" s="54" t="n">
        <v>0</v>
      </c>
      <c r="P100" s="54" t="n">
        <v>1</v>
      </c>
      <c r="Q100" s="54" t="n">
        <v>0</v>
      </c>
      <c r="R100" s="54" t="n">
        <v>0</v>
      </c>
      <c r="S100" s="54" t="n">
        <v>0</v>
      </c>
      <c r="T100" s="54" t="n">
        <v>0</v>
      </c>
      <c r="U100" s="54" t="n">
        <v>0</v>
      </c>
      <c r="V100" s="54" t="n">
        <v>0</v>
      </c>
      <c r="W100" s="54" t="n">
        <v>0</v>
      </c>
      <c r="X100" s="54" t="n">
        <v>0</v>
      </c>
      <c r="Y100" s="54" t="n">
        <v>0</v>
      </c>
      <c r="Z100" s="54" t="n">
        <v>0</v>
      </c>
      <c r="AA100" s="54" t="n">
        <v>0</v>
      </c>
      <c r="AB100" s="54" t="n">
        <v>0</v>
      </c>
      <c r="AC100" s="54" t="n">
        <v>0</v>
      </c>
      <c r="AD100" s="54" t="n">
        <v>0</v>
      </c>
      <c r="AE100" s="54" t="n">
        <v>0</v>
      </c>
      <c r="AF100" s="54" t="n">
        <v>0</v>
      </c>
      <c r="AG100" s="54" t="n">
        <v>0</v>
      </c>
      <c r="AH100" s="54" t="n">
        <v>0</v>
      </c>
      <c r="AI100" s="54" t="n"/>
      <c r="AJ100" s="54" t="n"/>
      <c r="AK100" s="54" t="n"/>
      <c r="AL100" s="54" t="n"/>
      <c r="AM100" s="54" t="n"/>
      <c r="AN100" s="54" t="n"/>
    </row>
    <row r="101" hidden="1" outlineLevel="1">
      <c r="A101" s="54" t="inlineStr">
        <is>
          <t>Porvenir</t>
        </is>
      </c>
      <c r="B101" s="54" t="n">
        <v>0</v>
      </c>
      <c r="C101" s="54" t="n">
        <v>1</v>
      </c>
      <c r="D101" s="54" t="n">
        <v>1</v>
      </c>
      <c r="E101" s="54" t="n">
        <v>0</v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1</v>
      </c>
      <c r="L101" s="54" t="n">
        <v>0</v>
      </c>
      <c r="M101" s="54" t="n">
        <v>0</v>
      </c>
      <c r="N101" s="54" t="n">
        <v>0</v>
      </c>
      <c r="O101" s="54" t="n">
        <v>0</v>
      </c>
      <c r="P101" s="54" t="n">
        <v>0</v>
      </c>
      <c r="Q101" s="54" t="n">
        <v>0</v>
      </c>
      <c r="R101" s="54" t="n">
        <v>0</v>
      </c>
      <c r="S101" s="54" t="n">
        <v>0</v>
      </c>
      <c r="T101" s="54" t="n">
        <v>1</v>
      </c>
      <c r="U101" s="54" t="n">
        <v>0</v>
      </c>
      <c r="V101" s="54" t="n">
        <v>0</v>
      </c>
      <c r="W101" s="54" t="n">
        <v>1</v>
      </c>
      <c r="X101" s="54" t="n">
        <v>0</v>
      </c>
      <c r="Y101" s="54" t="n">
        <v>0</v>
      </c>
      <c r="Z101" s="54" t="n">
        <v>0</v>
      </c>
      <c r="AA101" s="54" t="n">
        <v>0</v>
      </c>
      <c r="AB101" s="54" t="n">
        <v>0</v>
      </c>
      <c r="AC101" s="54" t="n">
        <v>0</v>
      </c>
      <c r="AD101" s="54" t="n">
        <v>0</v>
      </c>
      <c r="AE101" s="54" t="n">
        <v>0</v>
      </c>
      <c r="AF101" s="54" t="n">
        <v>0</v>
      </c>
      <c r="AG101" s="54" t="n">
        <v>0</v>
      </c>
      <c r="AH101" s="54" t="n">
        <v>0</v>
      </c>
      <c r="AI101" s="54" t="n"/>
      <c r="AJ101" s="54" t="n"/>
      <c r="AK101" s="54" t="n"/>
      <c r="AL101" s="54" t="n"/>
      <c r="AM101" s="54" t="n"/>
      <c r="AN101" s="54" t="n"/>
    </row>
    <row r="102" hidden="1" outlineLevel="1">
      <c r="A102" s="54" t="inlineStr">
        <is>
          <t>Red Mamonal</t>
        </is>
      </c>
      <c r="B102" s="54" t="n">
        <v>1</v>
      </c>
      <c r="C102" s="54" t="n">
        <v>0</v>
      </c>
      <c r="D102" s="54" t="n">
        <v>0</v>
      </c>
      <c r="E102" s="54" t="n">
        <v>0</v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4" t="n">
        <v>0</v>
      </c>
      <c r="O102" s="54" t="n">
        <v>0</v>
      </c>
      <c r="P102" s="54" t="n">
        <v>0</v>
      </c>
      <c r="Q102" s="54" t="n">
        <v>0</v>
      </c>
      <c r="R102" s="54" t="n">
        <v>0</v>
      </c>
      <c r="S102" s="54" t="n">
        <v>0</v>
      </c>
      <c r="T102" s="54" t="n">
        <v>0</v>
      </c>
      <c r="U102" s="54" t="n">
        <v>0</v>
      </c>
      <c r="V102" s="54" t="n">
        <v>0</v>
      </c>
      <c r="W102" s="54" t="n">
        <v>0</v>
      </c>
      <c r="X102" s="54" t="n">
        <v>0</v>
      </c>
      <c r="Y102" s="54" t="n">
        <v>0</v>
      </c>
      <c r="Z102" s="54" t="n">
        <v>0</v>
      </c>
      <c r="AA102" s="54" t="n">
        <v>0</v>
      </c>
      <c r="AB102" s="54" t="n">
        <v>1</v>
      </c>
      <c r="AC102" s="54" t="n">
        <v>1</v>
      </c>
      <c r="AD102" s="54" t="n">
        <v>1</v>
      </c>
      <c r="AE102" s="54" t="n">
        <v>0</v>
      </c>
      <c r="AF102" s="54" t="n">
        <v>1</v>
      </c>
      <c r="AG102" s="54" t="n">
        <v>0</v>
      </c>
      <c r="AH102" s="54" t="n">
        <v>0</v>
      </c>
      <c r="AI102" s="54" t="n"/>
      <c r="AJ102" s="54" t="n"/>
      <c r="AK102" s="54" t="n"/>
      <c r="AL102" s="54" t="n"/>
      <c r="AM102" s="54" t="n"/>
      <c r="AN102" s="54" t="n"/>
    </row>
    <row r="103" hidden="1" outlineLevel="1">
      <c r="A103" s="54" t="inlineStr">
        <is>
          <t>Sabana</t>
        </is>
      </c>
      <c r="B103" s="54" t="n">
        <v>0</v>
      </c>
      <c r="C103" s="54" t="n">
        <v>1</v>
      </c>
      <c r="D103" s="54" t="n">
        <v>1</v>
      </c>
      <c r="E103" s="54" t="n">
        <v>0</v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1</v>
      </c>
      <c r="L103" s="54" t="n">
        <v>0</v>
      </c>
      <c r="M103" s="54" t="n">
        <v>0</v>
      </c>
      <c r="N103" s="54" t="n">
        <v>0</v>
      </c>
      <c r="O103" s="54" t="n">
        <v>0</v>
      </c>
      <c r="P103" s="54" t="n">
        <v>0</v>
      </c>
      <c r="Q103" s="54" t="n">
        <v>0</v>
      </c>
      <c r="R103" s="54" t="n">
        <v>0</v>
      </c>
      <c r="S103" s="54" t="n">
        <v>0</v>
      </c>
      <c r="T103" s="54" t="n">
        <v>1</v>
      </c>
      <c r="U103" s="54" t="n">
        <v>1</v>
      </c>
      <c r="V103" s="54" t="n">
        <v>1</v>
      </c>
      <c r="W103" s="54" t="n">
        <v>0</v>
      </c>
      <c r="X103" s="54" t="n">
        <v>0</v>
      </c>
      <c r="Y103" s="54" t="n">
        <v>0</v>
      </c>
      <c r="Z103" s="54" t="n">
        <v>0</v>
      </c>
      <c r="AA103" s="54" t="n">
        <v>0</v>
      </c>
      <c r="AB103" s="54" t="n">
        <v>0</v>
      </c>
      <c r="AC103" s="54" t="n">
        <v>0</v>
      </c>
      <c r="AD103" s="54" t="n">
        <v>0</v>
      </c>
      <c r="AE103" s="54" t="n">
        <v>0</v>
      </c>
      <c r="AF103" s="54" t="n">
        <v>0</v>
      </c>
      <c r="AG103" s="54" t="n">
        <v>0</v>
      </c>
      <c r="AH103" s="54" t="n">
        <v>0</v>
      </c>
      <c r="AI103" s="54" t="n"/>
      <c r="AJ103" s="54" t="n"/>
      <c r="AK103" s="54" t="n"/>
      <c r="AL103" s="54" t="n"/>
      <c r="AM103" s="54" t="n"/>
      <c r="AN103" s="54" t="n"/>
    </row>
    <row r="104" hidden="1" outlineLevel="1">
      <c r="A104" s="54" t="inlineStr">
        <is>
          <t>Sebastopol</t>
        </is>
      </c>
      <c r="B104" s="54" t="n">
        <v>0</v>
      </c>
      <c r="C104" s="54" t="n">
        <v>1</v>
      </c>
      <c r="D104" s="54" t="n">
        <v>1</v>
      </c>
      <c r="E104" s="54" t="n">
        <v>0</v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4" t="n">
        <v>0</v>
      </c>
      <c r="O104" s="54" t="n">
        <v>0</v>
      </c>
      <c r="P104" s="54" t="n">
        <v>0</v>
      </c>
      <c r="Q104" s="54" t="n">
        <v>0</v>
      </c>
      <c r="R104" s="54" t="n">
        <v>0</v>
      </c>
      <c r="S104" s="54" t="n">
        <v>0</v>
      </c>
      <c r="T104" s="54" t="n">
        <v>0</v>
      </c>
      <c r="U104" s="54" t="n">
        <v>0</v>
      </c>
      <c r="V104" s="54" t="n">
        <v>0</v>
      </c>
      <c r="W104" s="54" t="n">
        <v>0</v>
      </c>
      <c r="X104" s="54" t="n">
        <v>0</v>
      </c>
      <c r="Y104" s="54" t="n">
        <v>0</v>
      </c>
      <c r="Z104" s="54" t="n">
        <v>0</v>
      </c>
      <c r="AA104" s="54" t="n">
        <v>0</v>
      </c>
      <c r="AB104" s="54" t="n">
        <v>0</v>
      </c>
      <c r="AC104" s="54" t="n">
        <v>0</v>
      </c>
      <c r="AD104" s="54" t="n">
        <v>0</v>
      </c>
      <c r="AE104" s="54" t="n">
        <v>0</v>
      </c>
      <c r="AF104" s="54" t="n">
        <v>0</v>
      </c>
      <c r="AG104" s="54" t="n">
        <v>0</v>
      </c>
      <c r="AH104" s="54" t="n">
        <v>0</v>
      </c>
      <c r="AI104" s="54" t="n"/>
      <c r="AJ104" s="54" t="n"/>
      <c r="AK104" s="54" t="n"/>
      <c r="AL104" s="54" t="n"/>
      <c r="AM104" s="54" t="n"/>
      <c r="AN104" s="54" t="n"/>
    </row>
    <row r="105" hidden="1" outlineLevel="1">
      <c r="A105" s="54" t="inlineStr">
        <is>
          <t>Sincelejo</t>
        </is>
      </c>
      <c r="B105" s="54" t="n">
        <v>1</v>
      </c>
      <c r="C105" s="54" t="n">
        <v>0</v>
      </c>
      <c r="D105" s="54" t="n">
        <v>0</v>
      </c>
      <c r="E105" s="54" t="n">
        <v>0</v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4" t="n">
        <v>0</v>
      </c>
      <c r="O105" s="54" t="n">
        <v>0</v>
      </c>
      <c r="P105" s="54" t="n">
        <v>0</v>
      </c>
      <c r="Q105" s="54" t="n">
        <v>0</v>
      </c>
      <c r="R105" s="54" t="n">
        <v>0</v>
      </c>
      <c r="S105" s="54" t="n">
        <v>0</v>
      </c>
      <c r="T105" s="54" t="n">
        <v>0</v>
      </c>
      <c r="U105" s="54" t="n">
        <v>0</v>
      </c>
      <c r="V105" s="54" t="n">
        <v>0</v>
      </c>
      <c r="W105" s="54" t="n">
        <v>0</v>
      </c>
      <c r="X105" s="54" t="n">
        <v>0</v>
      </c>
      <c r="Y105" s="54" t="n">
        <v>0</v>
      </c>
      <c r="Z105" s="54" t="n">
        <v>0</v>
      </c>
      <c r="AA105" s="54" t="n">
        <v>0</v>
      </c>
      <c r="AB105" s="54" t="n">
        <v>1</v>
      </c>
      <c r="AC105" s="54" t="n">
        <v>1</v>
      </c>
      <c r="AD105" s="54" t="n">
        <v>1</v>
      </c>
      <c r="AE105" s="54" t="n">
        <v>1</v>
      </c>
      <c r="AF105" s="54" t="n">
        <v>0</v>
      </c>
      <c r="AG105" s="54" t="n">
        <v>0</v>
      </c>
      <c r="AH105" s="54" t="n">
        <v>0</v>
      </c>
      <c r="AI105" s="54" t="n"/>
      <c r="AJ105" s="54" t="n"/>
      <c r="AK105" s="54" t="n"/>
      <c r="AL105" s="54" t="n"/>
      <c r="AM105" s="54" t="n"/>
      <c r="AN105" s="54" t="n"/>
    </row>
    <row r="106" hidden="1" outlineLevel="1">
      <c r="A106" s="54" t="inlineStr">
        <is>
          <t>Transmetano</t>
        </is>
      </c>
      <c r="B106" s="54" t="n">
        <v>0</v>
      </c>
      <c r="C106" s="54" t="n">
        <v>1</v>
      </c>
      <c r="D106" s="54" t="n">
        <v>1</v>
      </c>
      <c r="E106" s="54" t="n">
        <v>1</v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4" t="n">
        <v>0</v>
      </c>
      <c r="O106" s="54" t="n">
        <v>0</v>
      </c>
      <c r="P106" s="54" t="n">
        <v>0</v>
      </c>
      <c r="Q106" s="54" t="n">
        <v>0</v>
      </c>
      <c r="R106" s="54" t="n">
        <v>0</v>
      </c>
      <c r="S106" s="54" t="n">
        <v>0</v>
      </c>
      <c r="T106" s="54" t="n">
        <v>0</v>
      </c>
      <c r="U106" s="54" t="n">
        <v>0</v>
      </c>
      <c r="V106" s="54" t="n">
        <v>0</v>
      </c>
      <c r="W106" s="54" t="n">
        <v>0</v>
      </c>
      <c r="X106" s="54" t="n">
        <v>0</v>
      </c>
      <c r="Y106" s="54" t="n">
        <v>0</v>
      </c>
      <c r="Z106" s="54" t="n">
        <v>0</v>
      </c>
      <c r="AA106" s="54" t="n">
        <v>0</v>
      </c>
      <c r="AB106" s="54" t="n">
        <v>0</v>
      </c>
      <c r="AC106" s="54" t="n">
        <v>0</v>
      </c>
      <c r="AD106" s="54" t="n">
        <v>0</v>
      </c>
      <c r="AE106" s="54" t="n">
        <v>0</v>
      </c>
      <c r="AF106" s="54" t="n">
        <v>0</v>
      </c>
      <c r="AG106" s="54" t="n">
        <v>0</v>
      </c>
      <c r="AH106" s="54" t="n">
        <v>0</v>
      </c>
      <c r="AI106" s="54" t="n"/>
      <c r="AJ106" s="54" t="n"/>
      <c r="AK106" s="54" t="n"/>
      <c r="AL106" s="54" t="n"/>
      <c r="AM106" s="54" t="n"/>
      <c r="AN106" s="54" t="n"/>
    </row>
    <row r="107" hidden="1" outlineLevel="1">
      <c r="A107" s="54" t="inlineStr">
        <is>
          <t>Usme</t>
        </is>
      </c>
      <c r="B107" s="54" t="n">
        <v>0</v>
      </c>
      <c r="C107" s="54" t="n">
        <v>1</v>
      </c>
      <c r="D107" s="54" t="n">
        <v>1</v>
      </c>
      <c r="E107" s="54" t="n">
        <v>0</v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1</v>
      </c>
      <c r="L107" s="54" t="n">
        <v>0</v>
      </c>
      <c r="M107" s="54" t="n">
        <v>0</v>
      </c>
      <c r="N107" s="54" t="n">
        <v>0</v>
      </c>
      <c r="O107" s="54" t="n">
        <v>0</v>
      </c>
      <c r="P107" s="54" t="n">
        <v>0</v>
      </c>
      <c r="Q107" s="54" t="n">
        <v>0</v>
      </c>
      <c r="R107" s="54" t="n">
        <v>0</v>
      </c>
      <c r="S107" s="54" t="n">
        <v>0</v>
      </c>
      <c r="T107" s="54" t="n">
        <v>1</v>
      </c>
      <c r="U107" s="54" t="n">
        <v>0</v>
      </c>
      <c r="V107" s="54" t="n">
        <v>0</v>
      </c>
      <c r="W107" s="54" t="n">
        <v>1</v>
      </c>
      <c r="X107" s="54" t="n">
        <v>1</v>
      </c>
      <c r="Y107" s="54" t="n">
        <v>1</v>
      </c>
      <c r="Z107" s="54" t="n">
        <v>0</v>
      </c>
      <c r="AA107" s="54" t="n">
        <v>1</v>
      </c>
      <c r="AB107" s="54" t="n">
        <v>0</v>
      </c>
      <c r="AC107" s="54" t="n">
        <v>0</v>
      </c>
      <c r="AD107" s="54" t="n">
        <v>0</v>
      </c>
      <c r="AE107" s="54" t="n">
        <v>0</v>
      </c>
      <c r="AF107" s="54" t="n">
        <v>0</v>
      </c>
      <c r="AG107" s="54" t="n">
        <v>0</v>
      </c>
      <c r="AH107" s="54" t="n">
        <v>0</v>
      </c>
      <c r="AI107" s="54" t="n"/>
      <c r="AJ107" s="54" t="n"/>
      <c r="AK107" s="54" t="n"/>
      <c r="AL107" s="54" t="n"/>
      <c r="AM107" s="54" t="n"/>
      <c r="AN107" s="54" t="n"/>
    </row>
    <row r="108" hidden="1" outlineLevel="1">
      <c r="A108" s="54" t="inlineStr">
        <is>
          <t>Vasconia</t>
        </is>
      </c>
      <c r="B108" s="54" t="n">
        <v>0</v>
      </c>
      <c r="C108" s="54" t="n">
        <v>1</v>
      </c>
      <c r="D108" s="54" t="n">
        <v>1</v>
      </c>
      <c r="E108" s="54" t="n">
        <v>0</v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1</v>
      </c>
      <c r="L108" s="54" t="n">
        <v>0</v>
      </c>
      <c r="M108" s="54" t="n">
        <v>0</v>
      </c>
      <c r="N108" s="54" t="n">
        <v>0</v>
      </c>
      <c r="O108" s="54" t="n">
        <v>0</v>
      </c>
      <c r="P108" s="54" t="n">
        <v>0</v>
      </c>
      <c r="Q108" s="54" t="n">
        <v>0</v>
      </c>
      <c r="R108" s="54" t="n">
        <v>0</v>
      </c>
      <c r="S108" s="54" t="n">
        <v>0</v>
      </c>
      <c r="T108" s="54" t="n">
        <v>0</v>
      </c>
      <c r="U108" s="54" t="n">
        <v>0</v>
      </c>
      <c r="V108" s="54" t="n">
        <v>0</v>
      </c>
      <c r="W108" s="54" t="n">
        <v>0</v>
      </c>
      <c r="X108" s="54" t="n">
        <v>0</v>
      </c>
      <c r="Y108" s="54" t="n">
        <v>0</v>
      </c>
      <c r="Z108" s="54" t="n">
        <v>0</v>
      </c>
      <c r="AA108" s="54" t="n">
        <v>0</v>
      </c>
      <c r="AB108" s="54" t="n">
        <v>0</v>
      </c>
      <c r="AC108" s="54" t="n">
        <v>0</v>
      </c>
      <c r="AD108" s="54" t="n">
        <v>0</v>
      </c>
      <c r="AE108" s="54" t="n">
        <v>0</v>
      </c>
      <c r="AF108" s="54" t="n">
        <v>0</v>
      </c>
      <c r="AG108" s="54" t="n">
        <v>0</v>
      </c>
      <c r="AH108" s="54" t="n">
        <v>0</v>
      </c>
      <c r="AI108" s="54" t="n"/>
      <c r="AJ108" s="54" t="n"/>
      <c r="AK108" s="54" t="n"/>
      <c r="AL108" s="54" t="n"/>
      <c r="AM108" s="54" t="n"/>
      <c r="AN108" s="54" t="n"/>
    </row>
    <row r="109" hidden="1" outlineLevel="1">
      <c r="A109" s="54" t="inlineStr">
        <is>
          <t>Villavicencio</t>
        </is>
      </c>
      <c r="B109" s="54" t="n">
        <v>0</v>
      </c>
      <c r="C109" s="54" t="n">
        <v>1</v>
      </c>
      <c r="D109" s="54" t="n">
        <v>1</v>
      </c>
      <c r="E109" s="54" t="n">
        <v>0</v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1</v>
      </c>
      <c r="L109" s="54" t="n">
        <v>0</v>
      </c>
      <c r="M109" s="54" t="n">
        <v>0</v>
      </c>
      <c r="N109" s="54" t="n">
        <v>0</v>
      </c>
      <c r="O109" s="54" t="n">
        <v>0</v>
      </c>
      <c r="P109" s="54" t="n">
        <v>0</v>
      </c>
      <c r="Q109" s="54" t="n">
        <v>0</v>
      </c>
      <c r="R109" s="54" t="n">
        <v>0</v>
      </c>
      <c r="S109" s="54" t="n">
        <v>0</v>
      </c>
      <c r="T109" s="54" t="n">
        <v>1</v>
      </c>
      <c r="U109" s="54" t="n">
        <v>0</v>
      </c>
      <c r="V109" s="54" t="n">
        <v>0</v>
      </c>
      <c r="W109" s="54" t="n">
        <v>1</v>
      </c>
      <c r="X109" s="54" t="n">
        <v>1</v>
      </c>
      <c r="Y109" s="54" t="n">
        <v>1</v>
      </c>
      <c r="Z109" s="54" t="n">
        <v>1</v>
      </c>
      <c r="AA109" s="54" t="n">
        <v>0</v>
      </c>
      <c r="AB109" s="54" t="n">
        <v>0</v>
      </c>
      <c r="AC109" s="54" t="n">
        <v>0</v>
      </c>
      <c r="AD109" s="54" t="n">
        <v>0</v>
      </c>
      <c r="AE109" s="54" t="n">
        <v>0</v>
      </c>
      <c r="AF109" s="54" t="n">
        <v>0</v>
      </c>
      <c r="AG109" s="54" t="n">
        <v>0</v>
      </c>
      <c r="AH109" s="54" t="n">
        <v>0</v>
      </c>
      <c r="AI109" s="54" t="n"/>
      <c r="AJ109" s="54" t="n"/>
      <c r="AK109" s="54" t="n"/>
      <c r="AL109" s="54" t="n"/>
      <c r="AM109" s="54" t="n"/>
      <c r="AN109" s="54" t="n"/>
    </row>
    <row r="110" hidden="1" outlineLevel="1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</row>
    <row r="111" hidden="1" outlineLevel="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</row>
    <row r="112" hidden="1" outlineLevel="1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</row>
    <row r="113" hidden="1" outlineLevel="1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</row>
    <row r="114" hidden="1" outlineLevel="1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</row>
    <row r="115" hidden="1" outlineLevel="1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</row>
    <row r="116" hidden="1" outlineLevel="1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</row>
    <row r="117" hidden="1" outlineLevel="1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  <col width="8" customWidth="1" min="10" max="10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30" t="inlineStr">
        <is>
          <t>Ruta</t>
        </is>
      </c>
      <c r="B1" s="30" t="inlineStr">
        <is>
          <t>Origen</t>
        </is>
      </c>
      <c r="C1" s="30" t="inlineStr">
        <is>
          <t>Destino</t>
        </is>
      </c>
      <c r="D1" s="30" t="inlineStr">
        <is>
          <t>Fijos</t>
        </is>
      </c>
      <c r="E1" s="30" t="inlineStr">
        <is>
          <t>Variables</t>
        </is>
      </c>
      <c r="F1" s="30" t="inlineStr">
        <is>
          <t>AOM</t>
        </is>
      </c>
      <c r="G1" s="30" t="inlineStr">
        <is>
          <t>Cap Disp Flujo</t>
        </is>
      </c>
      <c r="H1" s="30" t="inlineStr">
        <is>
          <t>Cap D Contra Flujo</t>
        </is>
      </c>
      <c r="I1" s="30" t="inlineStr">
        <is>
          <t>Transportador</t>
        </is>
      </c>
      <c r="J1" s="30" t="inlineStr">
        <is>
          <t>Tramo</t>
        </is>
      </c>
      <c r="L1" s="30" t="inlineStr">
        <is>
          <t>Transportador</t>
        </is>
      </c>
      <c r="M1" s="30" t="inlineStr">
        <is>
          <t>Fijos</t>
        </is>
      </c>
      <c r="N1" s="30" t="inlineStr">
        <is>
          <t>Variables</t>
        </is>
      </c>
      <c r="O1" s="30" t="inlineStr">
        <is>
          <t>AOM</t>
        </is>
      </c>
    </row>
    <row r="2">
      <c r="A2" s="23" t="inlineStr">
        <is>
          <t>Ballenas_tgi - Barranca</t>
        </is>
      </c>
      <c r="B2" s="23" t="inlineStr">
        <is>
          <t>Ballenas_tgi</t>
        </is>
      </c>
      <c r="C2" s="23" t="inlineStr">
        <is>
          <t>Barranca</t>
        </is>
      </c>
      <c r="D2" s="24" t="n">
        <v>3328.377778</v>
      </c>
      <c r="E2" s="24" t="n">
        <v>5041</v>
      </c>
      <c r="F2" s="24" t="n">
        <v>2435.502778</v>
      </c>
      <c r="G2" s="23" t="n"/>
      <c r="H2" s="23" t="n"/>
      <c r="I2" s="23" t="inlineStr">
        <is>
          <t>TGI</t>
        </is>
      </c>
      <c r="J2" s="23" t="n">
        <v>1</v>
      </c>
      <c r="L2" s="23" t="inlineStr">
        <is>
          <t>TGI</t>
        </is>
      </c>
      <c r="M2" s="23" t="n">
        <v>541.7611111</v>
      </c>
      <c r="N2" s="23" t="n">
        <v>757</v>
      </c>
      <c r="O2" s="23" t="n">
        <v>160.9083333</v>
      </c>
    </row>
    <row r="3">
      <c r="A3" s="23" t="inlineStr">
        <is>
          <t>Barranca - Sebastopol</t>
        </is>
      </c>
      <c r="B3" s="23" t="inlineStr">
        <is>
          <t>Barranca</t>
        </is>
      </c>
      <c r="C3" s="23" t="inlineStr">
        <is>
          <t>Sebastopol</t>
        </is>
      </c>
      <c r="D3" s="24" t="n">
        <v>1532.561111</v>
      </c>
      <c r="E3" s="24" t="n">
        <v>3381</v>
      </c>
      <c r="F3" s="24" t="n">
        <v>586.5194444</v>
      </c>
      <c r="G3" s="23" t="n"/>
      <c r="H3" s="23" t="n"/>
      <c r="I3" s="23" t="inlineStr">
        <is>
          <t>TGI</t>
        </is>
      </c>
      <c r="J3" s="23" t="n">
        <v>2</v>
      </c>
      <c r="L3" s="23" t="inlineStr">
        <is>
          <t>PROMIGAS</t>
        </is>
      </c>
      <c r="M3" s="23" t="n">
        <v>815.331</v>
      </c>
      <c r="N3" s="23" t="n">
        <v>1195.386</v>
      </c>
      <c r="O3" s="23" t="n">
        <v>97</v>
      </c>
    </row>
    <row r="4">
      <c r="A4" s="23" t="inlineStr">
        <is>
          <t>Sebastopol - Transmetano</t>
        </is>
      </c>
      <c r="B4" s="23" t="inlineStr">
        <is>
          <t>Sebastopol</t>
        </is>
      </c>
      <c r="C4" s="23" t="inlineStr">
        <is>
          <t>Transmetano</t>
        </is>
      </c>
      <c r="D4" s="24" t="n">
        <v>1e-05</v>
      </c>
      <c r="E4" s="24" t="n">
        <v>1e-05</v>
      </c>
      <c r="F4" s="24" t="n">
        <v>0</v>
      </c>
      <c r="G4" s="23" t="n"/>
      <c r="H4" s="23" t="n"/>
      <c r="I4" s="23" t="inlineStr">
        <is>
          <t>TGI</t>
        </is>
      </c>
      <c r="J4" s="23" t="n">
        <v>3</v>
      </c>
    </row>
    <row r="5">
      <c r="A5" s="23" t="inlineStr">
        <is>
          <t>Transmetano - Donmatias</t>
        </is>
      </c>
      <c r="B5" s="23" t="inlineStr">
        <is>
          <t>Transmetano</t>
        </is>
      </c>
      <c r="C5" s="23" t="inlineStr">
        <is>
          <t>Donmatias</t>
        </is>
      </c>
      <c r="D5" s="24" t="n">
        <v>1e-05</v>
      </c>
      <c r="E5" s="24" t="n">
        <v>1e-05</v>
      </c>
      <c r="F5" s="24" t="n">
        <v>0</v>
      </c>
      <c r="G5" s="23" t="n"/>
      <c r="H5" s="23" t="n"/>
      <c r="I5" s="23" t="inlineStr">
        <is>
          <t>TGI</t>
        </is>
      </c>
      <c r="J5" s="23" t="n">
        <v>4</v>
      </c>
    </row>
    <row r="6">
      <c r="A6" s="23" t="inlineStr">
        <is>
          <t>Donmatias - Barbosa</t>
        </is>
      </c>
      <c r="B6" s="23" t="inlineStr">
        <is>
          <t>Donmatias</t>
        </is>
      </c>
      <c r="C6" s="23" t="inlineStr">
        <is>
          <t>Barbosa</t>
        </is>
      </c>
      <c r="D6" s="24" t="n">
        <v>1e-05</v>
      </c>
      <c r="E6" s="24" t="n">
        <v>1e-05</v>
      </c>
      <c r="F6" s="24" t="n">
        <v>0</v>
      </c>
      <c r="G6" s="23" t="n"/>
      <c r="H6" s="23" t="n"/>
      <c r="I6" s="23" t="inlineStr">
        <is>
          <t>TGI</t>
        </is>
      </c>
      <c r="J6" s="23" t="n">
        <v>5</v>
      </c>
    </row>
    <row r="7">
      <c r="A7" s="23" t="inlineStr">
        <is>
          <t>Barbosa - Girardota</t>
        </is>
      </c>
      <c r="B7" s="23" t="inlineStr">
        <is>
          <t>Barbosa</t>
        </is>
      </c>
      <c r="C7" s="23" t="inlineStr">
        <is>
          <t>Girardota</t>
        </is>
      </c>
      <c r="D7" s="24" t="n">
        <v>1e-05</v>
      </c>
      <c r="E7" s="24" t="n">
        <v>1e-05</v>
      </c>
      <c r="F7" s="24" t="n">
        <v>0</v>
      </c>
      <c r="G7" s="23" t="n"/>
      <c r="H7" s="23" t="n"/>
      <c r="I7" s="23" t="inlineStr">
        <is>
          <t>TGI</t>
        </is>
      </c>
      <c r="J7" s="23" t="n">
        <v>6</v>
      </c>
    </row>
    <row r="8">
      <c r="A8" s="23" t="inlineStr">
        <is>
          <t>Girardota - Bello</t>
        </is>
      </c>
      <c r="B8" s="23" t="inlineStr">
        <is>
          <t>Girardota</t>
        </is>
      </c>
      <c r="C8" s="23" t="inlineStr">
        <is>
          <t>Bello</t>
        </is>
      </c>
      <c r="D8" s="24" t="n">
        <v>1e-05</v>
      </c>
      <c r="E8" s="24" t="n">
        <v>1e-05</v>
      </c>
      <c r="F8" s="24" t="n">
        <v>0</v>
      </c>
      <c r="G8" s="23" t="n"/>
      <c r="H8" s="23" t="n"/>
      <c r="I8" s="23" t="inlineStr">
        <is>
          <t>TGI</t>
        </is>
      </c>
      <c r="J8" s="23" t="n">
        <v>7</v>
      </c>
    </row>
    <row r="9">
      <c r="A9" s="23" t="inlineStr">
        <is>
          <t>Bello - Medellin</t>
        </is>
      </c>
      <c r="B9" s="23" t="inlineStr">
        <is>
          <t>Bello</t>
        </is>
      </c>
      <c r="C9" s="23" t="inlineStr">
        <is>
          <t>Medellin</t>
        </is>
      </c>
      <c r="D9" s="24" t="n">
        <v>5254.295304</v>
      </c>
      <c r="E9" s="24" t="n">
        <v>6590</v>
      </c>
      <c r="F9" s="24" t="n">
        <v>839.9753425</v>
      </c>
      <c r="G9" s="23" t="n"/>
      <c r="H9" s="23" t="n"/>
      <c r="I9" s="23" t="inlineStr">
        <is>
          <t>TGI</t>
        </is>
      </c>
      <c r="J9" s="23" t="n">
        <v>8</v>
      </c>
    </row>
    <row r="10">
      <c r="A10" s="23" t="inlineStr">
        <is>
          <t>Sebastopol - Vasconia</t>
        </is>
      </c>
      <c r="B10" s="23" t="inlineStr">
        <is>
          <t>Sebastopol</t>
        </is>
      </c>
      <c r="C10" s="23" t="inlineStr">
        <is>
          <t>Vasconia</t>
        </is>
      </c>
      <c r="D10" s="24" t="n">
        <v>625.7388889</v>
      </c>
      <c r="E10" s="24" t="n">
        <v>1868</v>
      </c>
      <c r="F10" s="24" t="n">
        <v>168.8277778</v>
      </c>
      <c r="G10" s="23" t="n"/>
      <c r="H10" s="23" t="n"/>
      <c r="I10" s="23" t="inlineStr">
        <is>
          <t>TGI</t>
        </is>
      </c>
      <c r="J10" s="23" t="n">
        <v>9</v>
      </c>
    </row>
    <row r="11">
      <c r="A11" s="23" t="inlineStr">
        <is>
          <t>Vasconia - Mariquita</t>
        </is>
      </c>
      <c r="B11" s="23" t="inlineStr">
        <is>
          <t>Vasconia</t>
        </is>
      </c>
      <c r="C11" s="23" t="inlineStr">
        <is>
          <t>Mariquita</t>
        </is>
      </c>
      <c r="D11" s="24" t="n">
        <v>1489.125</v>
      </c>
      <c r="E11" s="24" t="n">
        <v>2208</v>
      </c>
      <c r="F11" s="24" t="n">
        <v>439.3777778</v>
      </c>
      <c r="G11" s="23" t="n"/>
      <c r="H11" s="23" t="n"/>
      <c r="I11" s="23" t="inlineStr">
        <is>
          <t>TGI</t>
        </is>
      </c>
      <c r="J11" s="23" t="n">
        <v>10</v>
      </c>
    </row>
    <row r="12">
      <c r="A12" s="23" t="inlineStr">
        <is>
          <t>Mariquita - Gualanday</t>
        </is>
      </c>
      <c r="B12" s="23" t="inlineStr">
        <is>
          <t>Mariquita</t>
        </is>
      </c>
      <c r="C12" s="23" t="inlineStr">
        <is>
          <t>Gualanday</t>
        </is>
      </c>
      <c r="D12" s="24" t="n">
        <v>5177.683333</v>
      </c>
      <c r="E12" s="24" t="n">
        <v>5420</v>
      </c>
      <c r="F12" s="24" t="n">
        <v>1079.844444</v>
      </c>
      <c r="G12" s="23" t="n"/>
      <c r="H12" s="23" t="n"/>
      <c r="I12" s="23" t="inlineStr">
        <is>
          <t>TGI</t>
        </is>
      </c>
      <c r="J12" s="23" t="n">
        <v>11</v>
      </c>
    </row>
    <row r="13">
      <c r="A13" s="23" t="inlineStr">
        <is>
          <t>Gualanday - Neiva</t>
        </is>
      </c>
      <c r="B13" s="23" t="inlineStr">
        <is>
          <t>Gualanday</t>
        </is>
      </c>
      <c r="C13" s="23" t="inlineStr">
        <is>
          <t>Neiva</t>
        </is>
      </c>
      <c r="D13" s="24" t="n">
        <v>18816.31389</v>
      </c>
      <c r="E13" s="24" t="n">
        <v>20660</v>
      </c>
      <c r="F13" s="24" t="n">
        <v>2600.491667</v>
      </c>
      <c r="G13" s="23" t="n"/>
      <c r="H13" s="23" t="n"/>
      <c r="I13" s="23" t="inlineStr">
        <is>
          <t>TGI</t>
        </is>
      </c>
      <c r="J13" s="23" t="n">
        <v>12</v>
      </c>
    </row>
    <row r="14">
      <c r="A14" s="23" t="inlineStr">
        <is>
          <t>Gualanday - Montañuelo</t>
        </is>
      </c>
      <c r="B14" s="23" t="inlineStr">
        <is>
          <t>Gualanday</t>
        </is>
      </c>
      <c r="C14" s="23" t="inlineStr">
        <is>
          <t>Montañuelo</t>
        </is>
      </c>
      <c r="D14" s="24" t="n">
        <v>0</v>
      </c>
      <c r="E14" s="24" t="n">
        <v>0</v>
      </c>
      <c r="F14" s="24" t="n">
        <v>0</v>
      </c>
      <c r="G14" s="23" t="n"/>
      <c r="H14" s="23" t="n"/>
      <c r="I14" s="23" t="inlineStr">
        <is>
          <t>TGI</t>
        </is>
      </c>
      <c r="J14" s="23" t="n">
        <v>13</v>
      </c>
    </row>
    <row r="15">
      <c r="A15" s="23" t="inlineStr">
        <is>
          <t>Mariquita - Pereira</t>
        </is>
      </c>
      <c r="B15" s="23" t="inlineStr">
        <is>
          <t>Mariquita</t>
        </is>
      </c>
      <c r="C15" s="23" t="inlineStr">
        <is>
          <t>Pereira</t>
        </is>
      </c>
      <c r="D15" s="24" t="n">
        <v>1869.808333</v>
      </c>
      <c r="E15" s="24" t="n">
        <v>2960</v>
      </c>
      <c r="F15" s="24" t="n">
        <v>1506.375</v>
      </c>
      <c r="G15" s="23" t="n"/>
      <c r="H15" s="23" t="n"/>
      <c r="I15" s="23" t="inlineStr">
        <is>
          <t>TGI</t>
        </is>
      </c>
      <c r="J15" s="23" t="n">
        <v>14</v>
      </c>
    </row>
    <row r="16">
      <c r="A16" s="23" t="inlineStr">
        <is>
          <t>Pereira - Armenia</t>
        </is>
      </c>
      <c r="B16" s="23" t="inlineStr">
        <is>
          <t>Pereira</t>
        </is>
      </c>
      <c r="C16" s="23" t="inlineStr">
        <is>
          <t>Armenia</t>
        </is>
      </c>
      <c r="D16" s="24" t="n">
        <v>660.3277778</v>
      </c>
      <c r="E16" s="24" t="n">
        <v>1102</v>
      </c>
      <c r="F16" s="24" t="n">
        <v>517.1861110999999</v>
      </c>
      <c r="G16" s="23" t="n"/>
      <c r="H16" s="23" t="n"/>
      <c r="I16" s="23" t="inlineStr">
        <is>
          <t>TGI</t>
        </is>
      </c>
      <c r="J16" s="23" t="n">
        <v>15</v>
      </c>
    </row>
    <row r="17">
      <c r="A17" s="23" t="inlineStr">
        <is>
          <t>Armenia - Cali</t>
        </is>
      </c>
      <c r="B17" s="23" t="inlineStr">
        <is>
          <t>Armenia</t>
        </is>
      </c>
      <c r="C17" s="23" t="inlineStr">
        <is>
          <t>Cali</t>
        </is>
      </c>
      <c r="D17" s="24" t="n">
        <v>1523.255556</v>
      </c>
      <c r="E17" s="24" t="n">
        <v>2644</v>
      </c>
      <c r="F17" s="24" t="n">
        <v>1159.258333</v>
      </c>
      <c r="G17" s="23" t="n"/>
      <c r="H17" s="23" t="n"/>
      <c r="I17" s="23" t="inlineStr">
        <is>
          <t>TGI</t>
        </is>
      </c>
      <c r="J17" s="23" t="n">
        <v>16</v>
      </c>
    </row>
    <row r="18">
      <c r="A18" s="23" t="inlineStr">
        <is>
          <t>Cali - Acopi</t>
        </is>
      </c>
      <c r="B18" s="23" t="inlineStr">
        <is>
          <t>Cali</t>
        </is>
      </c>
      <c r="C18" s="23" t="inlineStr">
        <is>
          <t>Acopi</t>
        </is>
      </c>
      <c r="D18" s="24" t="n">
        <v>1447.7123287671</v>
      </c>
      <c r="E18" s="24" t="n">
        <v>2547</v>
      </c>
      <c r="F18" s="24" t="n">
        <v>1034.1232876712</v>
      </c>
      <c r="G18" s="23" t="n"/>
      <c r="H18" s="23" t="n"/>
      <c r="I18" s="23" t="inlineStr">
        <is>
          <t>TGI</t>
        </is>
      </c>
      <c r="J18" s="23" t="n">
        <v>17</v>
      </c>
    </row>
    <row r="19">
      <c r="A19" s="23" t="inlineStr">
        <is>
          <t>Vasconia - La Belleza</t>
        </is>
      </c>
      <c r="B19" s="23" t="inlineStr">
        <is>
          <t>Vasconia</t>
        </is>
      </c>
      <c r="C19" s="23" t="inlineStr">
        <is>
          <t>La Belleza</t>
        </is>
      </c>
      <c r="D19" s="24" t="n">
        <v>1679.166667</v>
      </c>
      <c r="E19" s="24" t="n">
        <v>2498</v>
      </c>
      <c r="F19" s="24" t="n">
        <v>308.5722222</v>
      </c>
      <c r="G19" s="23" t="n"/>
      <c r="H19" s="23" t="n"/>
      <c r="I19" s="23" t="inlineStr">
        <is>
          <t>TGI</t>
        </is>
      </c>
      <c r="J19" s="23" t="n">
        <v>18</v>
      </c>
    </row>
    <row r="20">
      <c r="A20" s="23" t="inlineStr">
        <is>
          <t>La Belleza - Cogua</t>
        </is>
      </c>
      <c r="B20" s="23" t="inlineStr">
        <is>
          <t>La Belleza</t>
        </is>
      </c>
      <c r="C20" s="23" t="inlineStr">
        <is>
          <t>Cogua</t>
        </is>
      </c>
      <c r="D20" s="24" t="n">
        <v>1128.708333</v>
      </c>
      <c r="E20" s="24" t="n">
        <v>1517</v>
      </c>
      <c r="F20" s="24" t="n">
        <v>213.7805556</v>
      </c>
      <c r="G20" s="23" t="n"/>
      <c r="H20" s="23" t="n"/>
      <c r="I20" s="23" t="inlineStr">
        <is>
          <t>TGI</t>
        </is>
      </c>
      <c r="J20" s="23" t="n">
        <v>19</v>
      </c>
    </row>
    <row r="21">
      <c r="A21" s="23" t="inlineStr">
        <is>
          <t>Cogua - Sabana</t>
        </is>
      </c>
      <c r="B21" s="23" t="inlineStr">
        <is>
          <t>Cogua</t>
        </is>
      </c>
      <c r="C21" s="23" t="inlineStr">
        <is>
          <t>Sabana</t>
        </is>
      </c>
      <c r="D21" s="24" t="n">
        <v>0</v>
      </c>
      <c r="E21" s="24" t="n">
        <v>0</v>
      </c>
      <c r="F21" s="24" t="n">
        <v>0</v>
      </c>
      <c r="G21" s="23" t="n"/>
      <c r="H21" s="23" t="n"/>
      <c r="I21" s="23" t="inlineStr">
        <is>
          <t>TGI</t>
        </is>
      </c>
      <c r="J21" s="23" t="n">
        <v>20</v>
      </c>
    </row>
    <row r="22">
      <c r="A22" s="23" t="inlineStr">
        <is>
          <t>La Belleza - Porvenir</t>
        </is>
      </c>
      <c r="B22" s="23" t="inlineStr">
        <is>
          <t>La Belleza</t>
        </is>
      </c>
      <c r="C22" s="23" t="inlineStr">
        <is>
          <t>Porvenir</t>
        </is>
      </c>
      <c r="D22" s="24" t="n">
        <v>3149.572222</v>
      </c>
      <c r="E22" s="24" t="n">
        <v>4363</v>
      </c>
      <c r="F22" s="24" t="n">
        <v>702.5833333</v>
      </c>
      <c r="G22" s="23" t="n"/>
      <c r="H22" s="23" t="n"/>
      <c r="I22" s="23" t="inlineStr">
        <is>
          <t>TGI</t>
        </is>
      </c>
      <c r="J22" s="23" t="n">
        <v>21</v>
      </c>
    </row>
    <row r="23">
      <c r="A23" s="23" t="inlineStr">
        <is>
          <t>Porvenir - Cusiana</t>
        </is>
      </c>
      <c r="B23" s="23" t="inlineStr">
        <is>
          <t>Porvenir</t>
        </is>
      </c>
      <c r="C23" s="23" t="inlineStr">
        <is>
          <t>Cusiana</t>
        </is>
      </c>
      <c r="D23" s="24" t="n">
        <v>288.2694444</v>
      </c>
      <c r="E23" s="24" t="n">
        <v>396</v>
      </c>
      <c r="F23" s="24" t="n">
        <v>47.80555556</v>
      </c>
      <c r="G23" s="23" t="n"/>
      <c r="H23" s="23" t="n"/>
      <c r="I23" s="23" t="inlineStr">
        <is>
          <t>TGI</t>
        </is>
      </c>
      <c r="J23" s="23" t="n">
        <v>22</v>
      </c>
    </row>
    <row r="24">
      <c r="A24" s="23" t="inlineStr">
        <is>
          <t>Cusiana - Apiay</t>
        </is>
      </c>
      <c r="B24" s="23" t="inlineStr">
        <is>
          <t>Cusiana</t>
        </is>
      </c>
      <c r="C24" s="23" t="inlineStr">
        <is>
          <t>Apiay</t>
        </is>
      </c>
      <c r="D24" s="24" t="n">
        <v>1999.797222</v>
      </c>
      <c r="E24" s="24" t="n">
        <v>2040</v>
      </c>
      <c r="F24" s="24" t="n">
        <v>969.2444444</v>
      </c>
      <c r="G24" s="23" t="n"/>
      <c r="H24" s="23" t="n"/>
      <c r="I24" s="23" t="inlineStr">
        <is>
          <t>TGI</t>
        </is>
      </c>
      <c r="J24" s="23" t="n">
        <v>23</v>
      </c>
    </row>
    <row r="25">
      <c r="A25" s="23" t="inlineStr">
        <is>
          <t>Apiay - Villavicencio</t>
        </is>
      </c>
      <c r="B25" s="23" t="inlineStr">
        <is>
          <t>Apiay</t>
        </is>
      </c>
      <c r="C25" s="23" t="inlineStr">
        <is>
          <t>Villavicencio</t>
        </is>
      </c>
      <c r="D25" s="24" t="n">
        <v>1623.383333</v>
      </c>
      <c r="E25" s="24" t="n">
        <v>1729</v>
      </c>
      <c r="F25" s="24" t="n">
        <v>403.875</v>
      </c>
      <c r="G25" s="23" t="n"/>
      <c r="H25" s="23" t="n"/>
      <c r="I25" s="23" t="inlineStr">
        <is>
          <t>TGI</t>
        </is>
      </c>
      <c r="J25" s="23" t="n">
        <v>24</v>
      </c>
    </row>
    <row r="26">
      <c r="A26" s="23" t="inlineStr">
        <is>
          <t>Apiay - Usme</t>
        </is>
      </c>
      <c r="B26" s="23" t="inlineStr">
        <is>
          <t>Apiay</t>
        </is>
      </c>
      <c r="C26" s="23" t="inlineStr">
        <is>
          <t>Usme</t>
        </is>
      </c>
      <c r="D26" s="24" t="n">
        <v>2239.133333</v>
      </c>
      <c r="E26" s="24" t="n">
        <v>2207</v>
      </c>
      <c r="F26" s="24" t="n">
        <v>987.7722222</v>
      </c>
      <c r="G26" s="23" t="n"/>
      <c r="H26" s="23" t="n"/>
      <c r="I26" s="23" t="inlineStr">
        <is>
          <t>TGI</t>
        </is>
      </c>
      <c r="J26" s="23" t="n">
        <v>25</v>
      </c>
    </row>
    <row r="27">
      <c r="A27" s="23" t="inlineStr">
        <is>
          <t>Ballenas_prom - La Mami</t>
        </is>
      </c>
      <c r="B27" s="23" t="inlineStr">
        <is>
          <t>Ballenas_prom</t>
        </is>
      </c>
      <c r="C27" s="23" t="inlineStr">
        <is>
          <t>La Mami</t>
        </is>
      </c>
      <c r="D27" s="24" t="n">
        <v>733.131</v>
      </c>
      <c r="E27" s="24" t="n">
        <v>1197.172</v>
      </c>
      <c r="F27" s="24" t="n">
        <v>298</v>
      </c>
      <c r="G27" s="23" t="n"/>
      <c r="H27" s="23" t="n"/>
      <c r="I27" s="23" t="inlineStr">
        <is>
          <t>PROMIGAS</t>
        </is>
      </c>
      <c r="J27" s="23" t="n">
        <v>26</v>
      </c>
    </row>
    <row r="28">
      <c r="A28" s="23" t="inlineStr">
        <is>
          <t>La Mami - Barranquilla</t>
        </is>
      </c>
      <c r="B28" s="23" t="inlineStr">
        <is>
          <t>La Mami</t>
        </is>
      </c>
      <c r="C28" s="23" t="inlineStr">
        <is>
          <t>Barranquilla</t>
        </is>
      </c>
      <c r="D28" s="24" t="n">
        <v>1296.441</v>
      </c>
      <c r="E28" s="24" t="n">
        <v>1993.12</v>
      </c>
      <c r="F28" s="24" t="n">
        <v>296</v>
      </c>
      <c r="G28" s="23" t="n"/>
      <c r="H28" s="23" t="n"/>
      <c r="I28" s="23" t="inlineStr">
        <is>
          <t>PROMIGAS</t>
        </is>
      </c>
      <c r="J28" s="23" t="n">
        <v>27</v>
      </c>
    </row>
    <row r="29">
      <c r="A29" s="23" t="inlineStr">
        <is>
          <t>Barranquilla - Cartagena</t>
        </is>
      </c>
      <c r="B29" s="23" t="inlineStr">
        <is>
          <t>Barranquilla</t>
        </is>
      </c>
      <c r="C29" s="23" t="inlineStr">
        <is>
          <t>Cartagena</t>
        </is>
      </c>
      <c r="D29" s="24" t="n">
        <v>736.496</v>
      </c>
      <c r="E29" s="24" t="n">
        <v>849.141</v>
      </c>
      <c r="F29" s="24" t="n">
        <v>457</v>
      </c>
      <c r="G29" s="23" t="n"/>
      <c r="H29" s="23" t="n"/>
      <c r="I29" s="23" t="inlineStr">
        <is>
          <t>PROMIGAS</t>
        </is>
      </c>
      <c r="J29" s="23" t="n">
        <v>28</v>
      </c>
    </row>
    <row r="30">
      <c r="A30" s="23" t="inlineStr">
        <is>
          <t>Cartagena - Sincelejo</t>
        </is>
      </c>
      <c r="B30" s="23" t="inlineStr">
        <is>
          <t>Cartagena</t>
        </is>
      </c>
      <c r="C30" s="23" t="inlineStr">
        <is>
          <t>Sincelejo</t>
        </is>
      </c>
      <c r="D30" s="24" t="n">
        <v>2087.698</v>
      </c>
      <c r="E30" s="24" t="n">
        <v>2490.203</v>
      </c>
      <c r="F30" s="24" t="n">
        <v>266</v>
      </c>
      <c r="G30" s="23" t="n"/>
      <c r="H30" s="23" t="n"/>
      <c r="I30" s="23" t="inlineStr">
        <is>
          <t>PROMIGAS</t>
        </is>
      </c>
      <c r="J30" s="23" t="n">
        <v>29</v>
      </c>
    </row>
    <row r="31">
      <c r="A31" s="23" t="inlineStr">
        <is>
          <t>Cartagena - Red Mamonal</t>
        </is>
      </c>
      <c r="B31" s="23" t="inlineStr">
        <is>
          <t>Cartagena</t>
        </is>
      </c>
      <c r="C31" s="23" t="inlineStr">
        <is>
          <t>Red Mamonal</t>
        </is>
      </c>
      <c r="D31" s="24" t="n">
        <v>143.462</v>
      </c>
      <c r="E31" s="24" t="n">
        <v>158.435</v>
      </c>
      <c r="F31" s="24" t="n">
        <v>50</v>
      </c>
      <c r="G31" s="23" t="n"/>
      <c r="H31" s="23" t="n"/>
      <c r="I31" s="23" t="inlineStr">
        <is>
          <t>PROMIGAS</t>
        </is>
      </c>
      <c r="J31" s="23" t="n">
        <v>30</v>
      </c>
    </row>
    <row r="32">
      <c r="A32" s="23" t="inlineStr">
        <is>
          <t>Sincelejo - La Creciente</t>
        </is>
      </c>
      <c r="B32" s="23" t="inlineStr">
        <is>
          <t>Sincelejo</t>
        </is>
      </c>
      <c r="C32" s="23" t="inlineStr">
        <is>
          <t>La Creciente</t>
        </is>
      </c>
      <c r="D32" s="24" t="n">
        <v>898.436</v>
      </c>
      <c r="E32" s="24" t="n">
        <v>897.79</v>
      </c>
      <c r="F32" s="24" t="n">
        <v>163</v>
      </c>
      <c r="G32" s="23" t="n"/>
      <c r="H32" s="23" t="n"/>
      <c r="I32" s="23" t="inlineStr">
        <is>
          <t>PROMIGAS</t>
        </is>
      </c>
      <c r="J32" s="23" t="n">
        <v>31</v>
      </c>
    </row>
    <row r="33">
      <c r="A33" s="23" t="inlineStr">
        <is>
          <t>Sincelejo - Jobo</t>
        </is>
      </c>
      <c r="B33" s="23" t="inlineStr">
        <is>
          <t>Sincelejo</t>
        </is>
      </c>
      <c r="C33" s="23" t="inlineStr">
        <is>
          <t>Jobo</t>
        </is>
      </c>
      <c r="D33" s="24" t="n">
        <v>1675.082</v>
      </c>
      <c r="E33" s="24" t="n">
        <v>1769.096</v>
      </c>
      <c r="F33" s="24" t="n">
        <v>956</v>
      </c>
      <c r="G33" s="23" t="n"/>
      <c r="H33" s="23" t="n"/>
      <c r="I33" s="23" t="inlineStr">
        <is>
          <t>PROMIGAS</t>
        </is>
      </c>
      <c r="J33" s="23" t="n">
        <v>32</v>
      </c>
    </row>
    <row r="34"/>
    <row r="35">
      <c r="A35" s="27" t="inlineStr">
        <is>
          <t>Nota: 'Cap Disp Flujo' y 'Cap D Contra Flujo' se dejan disponibles para capacidad contratada/disponible; no forman parte del calculo de tarifa unitaria.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32" customWidth="1" min="4" max="4"/>
    <col width="10" customWidth="1" min="5" max="5"/>
    <col width="3" customWidth="1" min="6" max="6"/>
    <col width="30" customWidth="1" min="7" max="7"/>
    <col width="12" customWidth="1" min="8" max="8"/>
  </cols>
  <sheetData>
    <row r="1">
      <c r="A1" s="31" t="inlineStr">
        <is>
          <t>Origenes</t>
        </is>
      </c>
      <c r="B1" s="31" t="inlineStr">
        <is>
          <t>Destinos</t>
        </is>
      </c>
      <c r="D1" s="31" t="inlineStr">
        <is>
          <t>Opcion %CF</t>
        </is>
      </c>
      <c r="E1" s="31" t="inlineStr">
        <is>
          <t>Valor %CF</t>
        </is>
      </c>
      <c r="G1" s="31" t="inlineStr">
        <is>
          <t>Opcion Impuesto Local</t>
        </is>
      </c>
      <c r="H1" s="31" t="inlineStr">
        <is>
          <t>Valor Impuesto</t>
        </is>
      </c>
    </row>
    <row r="2">
      <c r="A2" t="inlineStr">
        <is>
          <t>Acopi</t>
        </is>
      </c>
      <c r="B2" t="inlineStr">
        <is>
          <t>Acopi</t>
        </is>
      </c>
      <c r="D2" t="inlineStr">
        <is>
          <t>100% Fijo / 0% Variable</t>
        </is>
      </c>
      <c r="E2" t="n">
        <v>1</v>
      </c>
      <c r="G2" t="inlineStr">
        <is>
          <t>0% - Sin impuesto local</t>
        </is>
      </c>
      <c r="H2" t="n">
        <v>0</v>
      </c>
    </row>
    <row r="3">
      <c r="A3" t="inlineStr">
        <is>
          <t>Apiay</t>
        </is>
      </c>
      <c r="B3" t="inlineStr">
        <is>
          <t>Apiay</t>
        </is>
      </c>
      <c r="D3" t="inlineStr">
        <is>
          <t>85% Fijo / 15% Variable</t>
        </is>
      </c>
      <c r="E3" t="n">
        <v>0.85</v>
      </c>
      <c r="G3" t="inlineStr">
        <is>
          <t>2% - Impuesto especial municipal</t>
        </is>
      </c>
      <c r="H3" t="n">
        <v>0.02</v>
      </c>
    </row>
    <row r="4">
      <c r="A4" t="inlineStr">
        <is>
          <t>Armenia</t>
        </is>
      </c>
      <c r="B4" t="inlineStr">
        <is>
          <t>Armenia</t>
        </is>
      </c>
      <c r="D4" t="inlineStr">
        <is>
          <t>70% Fijo / 30% Variable</t>
        </is>
      </c>
      <c r="E4" t="n">
        <v>0.7</v>
      </c>
      <c r="G4" t="inlineStr">
        <is>
          <t>6% - Impuesto especial municipal</t>
        </is>
      </c>
      <c r="H4" t="n">
        <v>0.06</v>
      </c>
    </row>
    <row r="5">
      <c r="A5" t="inlineStr">
        <is>
          <t>Ballenas_prom</t>
        </is>
      </c>
      <c r="B5" t="inlineStr">
        <is>
          <t>Ballenas_prom</t>
        </is>
      </c>
      <c r="D5" t="inlineStr">
        <is>
          <t>50% Fijo / 50% Variable</t>
        </is>
      </c>
      <c r="E5" t="n">
        <v>0.5</v>
      </c>
    </row>
    <row r="6">
      <c r="A6" t="inlineStr">
        <is>
          <t>Ballenas_tgi</t>
        </is>
      </c>
      <c r="B6" t="inlineStr">
        <is>
          <t>Ballenas_tgi</t>
        </is>
      </c>
      <c r="D6" t="inlineStr">
        <is>
          <t>30% Fijo / 70% Variable</t>
        </is>
      </c>
      <c r="E6" t="n">
        <v>0.3</v>
      </c>
    </row>
    <row r="7">
      <c r="A7" t="inlineStr">
        <is>
          <t>Barbosa</t>
        </is>
      </c>
      <c r="B7" t="inlineStr">
        <is>
          <t>Barbosa</t>
        </is>
      </c>
      <c r="D7" t="inlineStr">
        <is>
          <t>15% Fijo / 85% Variable</t>
        </is>
      </c>
      <c r="E7" t="n">
        <v>0.15</v>
      </c>
    </row>
    <row r="8">
      <c r="A8" t="inlineStr">
        <is>
          <t>Barranca</t>
        </is>
      </c>
      <c r="B8" t="inlineStr">
        <is>
          <t>Barranca</t>
        </is>
      </c>
      <c r="D8" t="inlineStr">
        <is>
          <t>0% Fijo / 100% Variable</t>
        </is>
      </c>
      <c r="E8" t="n">
        <v>0</v>
      </c>
    </row>
    <row r="9">
      <c r="A9" t="inlineStr">
        <is>
          <t>Barranquilla</t>
        </is>
      </c>
      <c r="B9" t="inlineStr">
        <is>
          <t>Barranquilla</t>
        </is>
      </c>
    </row>
    <row r="10">
      <c r="A10" t="inlineStr">
        <is>
          <t>Bello</t>
        </is>
      </c>
      <c r="B10" t="inlineStr">
        <is>
          <t>Bello</t>
        </is>
      </c>
    </row>
    <row r="11">
      <c r="A11" t="inlineStr">
        <is>
          <t>Cali</t>
        </is>
      </c>
      <c r="B11" t="inlineStr">
        <is>
          <t>Cali</t>
        </is>
      </c>
    </row>
    <row r="12">
      <c r="A12" t="inlineStr">
        <is>
          <t>Cartagena</t>
        </is>
      </c>
      <c r="B12" t="inlineStr">
        <is>
          <t>Cartagena</t>
        </is>
      </c>
    </row>
    <row r="13">
      <c r="A13" t="inlineStr">
        <is>
          <t>Cogua</t>
        </is>
      </c>
      <c r="B13" t="inlineStr">
        <is>
          <t>Cogua</t>
        </is>
      </c>
    </row>
    <row r="14">
      <c r="A14" t="inlineStr">
        <is>
          <t>Cusiana</t>
        </is>
      </c>
      <c r="B14" t="inlineStr">
        <is>
          <t>Cusiana</t>
        </is>
      </c>
    </row>
    <row r="15">
      <c r="A15" t="inlineStr">
        <is>
          <t>Donmatias</t>
        </is>
      </c>
      <c r="B15" t="inlineStr">
        <is>
          <t>Donmatias</t>
        </is>
      </c>
    </row>
    <row r="16">
      <c r="A16" t="inlineStr">
        <is>
          <t>Girardota</t>
        </is>
      </c>
      <c r="B16" t="inlineStr">
        <is>
          <t>Girardota</t>
        </is>
      </c>
    </row>
    <row r="17">
      <c r="A17" t="inlineStr">
        <is>
          <t>Gualanday</t>
        </is>
      </c>
      <c r="B17" t="inlineStr">
        <is>
          <t>Gualanday</t>
        </is>
      </c>
    </row>
    <row r="18">
      <c r="A18" t="inlineStr">
        <is>
          <t>Jobo</t>
        </is>
      </c>
      <c r="B18" t="inlineStr">
        <is>
          <t>Jobo</t>
        </is>
      </c>
    </row>
    <row r="19">
      <c r="A19" t="inlineStr">
        <is>
          <t>La Belleza</t>
        </is>
      </c>
      <c r="B19" t="inlineStr">
        <is>
          <t>La Belleza</t>
        </is>
      </c>
    </row>
    <row r="20">
      <c r="A20" t="inlineStr">
        <is>
          <t>La Creciente</t>
        </is>
      </c>
      <c r="B20" t="inlineStr">
        <is>
          <t>La Creciente</t>
        </is>
      </c>
    </row>
    <row r="21">
      <c r="A21" t="inlineStr">
        <is>
          <t>La Mami</t>
        </is>
      </c>
      <c r="B21" t="inlineStr">
        <is>
          <t>La Mami</t>
        </is>
      </c>
    </row>
    <row r="22">
      <c r="A22" t="inlineStr">
        <is>
          <t>Mariquita</t>
        </is>
      </c>
      <c r="B22" t="inlineStr">
        <is>
          <t>Mariquita</t>
        </is>
      </c>
    </row>
    <row r="23">
      <c r="A23" t="inlineStr">
        <is>
          <t>Medellin</t>
        </is>
      </c>
      <c r="B23" t="inlineStr">
        <is>
          <t>Medellin</t>
        </is>
      </c>
    </row>
    <row r="24">
      <c r="A24" t="inlineStr">
        <is>
          <t>Montañuelo</t>
        </is>
      </c>
      <c r="B24" t="inlineStr">
        <is>
          <t>Montañuelo</t>
        </is>
      </c>
    </row>
    <row r="25">
      <c r="A25" t="inlineStr">
        <is>
          <t>Neiva</t>
        </is>
      </c>
      <c r="B25" t="inlineStr">
        <is>
          <t>Neiva</t>
        </is>
      </c>
    </row>
    <row r="26">
      <c r="A26" t="inlineStr">
        <is>
          <t>Pereira</t>
        </is>
      </c>
      <c r="B26" t="inlineStr">
        <is>
          <t>Pereira</t>
        </is>
      </c>
    </row>
    <row r="27">
      <c r="A27" t="inlineStr">
        <is>
          <t>Porvenir</t>
        </is>
      </c>
      <c r="B27" t="inlineStr">
        <is>
          <t>Porvenir</t>
        </is>
      </c>
    </row>
    <row r="28">
      <c r="A28" t="inlineStr">
        <is>
          <t>Red Mamonal</t>
        </is>
      </c>
      <c r="B28" t="inlineStr">
        <is>
          <t>Red Mamonal</t>
        </is>
      </c>
    </row>
    <row r="29">
      <c r="A29" t="inlineStr">
        <is>
          <t>Sabana</t>
        </is>
      </c>
      <c r="B29" t="inlineStr">
        <is>
          <t>Sabana</t>
        </is>
      </c>
    </row>
    <row r="30">
      <c r="A30" t="inlineStr">
        <is>
          <t>Sebastopol</t>
        </is>
      </c>
      <c r="B30" t="inlineStr">
        <is>
          <t>Sebastopol</t>
        </is>
      </c>
    </row>
    <row r="31">
      <c r="A31" t="inlineStr">
        <is>
          <t>Sincelejo</t>
        </is>
      </c>
      <c r="B31" t="inlineStr">
        <is>
          <t>Sincelejo</t>
        </is>
      </c>
    </row>
    <row r="32">
      <c r="A32" t="inlineStr">
        <is>
          <t>Transmetano</t>
        </is>
      </c>
      <c r="B32" t="inlineStr">
        <is>
          <t>Transmetano</t>
        </is>
      </c>
    </row>
    <row r="33">
      <c r="A33" t="inlineStr">
        <is>
          <t>Usme</t>
        </is>
      </c>
      <c r="B33" t="inlineStr">
        <is>
          <t>Usme</t>
        </is>
      </c>
    </row>
    <row r="34">
      <c r="A34" t="inlineStr">
        <is>
          <t>Vasconia</t>
        </is>
      </c>
      <c r="B34" t="inlineStr">
        <is>
          <t>Vasconia</t>
        </is>
      </c>
    </row>
    <row r="35">
      <c r="A35" t="inlineStr">
        <is>
          <t>Villavicencio</t>
        </is>
      </c>
      <c r="B35" t="inlineStr">
        <is>
          <t>Villavicencio</t>
        </is>
      </c>
    </row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2026-08-26T20:39:09Z</dcterms:created>
  <dcterms:modified xmlns:dcterms="http://purl.org/dc/terms/" xmlns:xsi="http://www.w3.org/2001/XMLSchema-instance" xsi:type="dcterms:W3CDTF">2026-08-27T20:39:34Z</dcterms:modified>
</cp:coreProperties>
</file>